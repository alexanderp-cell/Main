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140" tabRatio="600" firstSheet="0" activeTab="1" autoFilterDateGrouping="1"/>
  </bookViews>
  <sheets>
    <sheet name="Instructions" sheetId="1" state="visible" r:id="rId1"/>
    <sheet name="Frequent RFQ" sheetId="2" state="visible" r:id="rId2"/>
    <sheet name="Инструкция" sheetId="3" state="visible" r:id="rId3"/>
  </sheets>
  <definedNames>
    <definedName name="_xlnm._FilterDatabase" localSheetId="1" hidden="1">'Frequent RFQ'!$A$1:$I$26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1F4E79"/>
      <sz val="14"/>
    </font>
    <font>
      <name val="Calibri"/>
      <charset val="204"/>
      <family val="2"/>
      <b val="1"/>
      <color rgb="FFFFFFFF"/>
      <sz val="11"/>
    </font>
    <font>
      <name val="Calibri"/>
      <family val="2"/>
      <color rgb="FFFF0000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001F4E79"/>
      </patternFill>
    </fill>
    <fill>
      <patternFill patternType="solid">
        <fgColor rgb="00E8F4FC"/>
      </patternFill>
    </fill>
    <fill>
      <patternFill patternType="solid">
        <fgColor rgb="00D5F5E3"/>
      </patternFill>
    </fill>
    <fill>
      <patternFill patternType="solid">
        <fgColor rgb="00F5B7B1"/>
      </patternFill>
    </fill>
    <fill>
      <patternFill patternType="solid">
        <fgColor rgb="00F5CBA7"/>
      </patternFill>
    </fill>
    <fill>
      <patternFill patternType="solid">
        <fgColor rgb="00ABEBC6"/>
      </patternFill>
    </fill>
    <fill>
      <patternFill patternType="solid">
        <fgColor rgb="00FCF3C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/>
    </xf>
    <xf numFmtId="1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center" wrapText="1"/>
    </xf>
    <xf numFmtId="4" fontId="0" fillId="6" borderId="2" applyAlignment="1" pivotButton="0" quotePrefix="0" xfId="0">
      <alignment vertical="center" wrapText="1"/>
    </xf>
    <xf numFmtId="165" fontId="0" fillId="6" borderId="2" applyAlignment="1" pivotButton="0" quotePrefix="0" xfId="0">
      <alignment vertical="center" wrapText="1"/>
    </xf>
    <xf numFmtId="165" fontId="0" fillId="7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165" fontId="0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165" fontId="0" fillId="9" borderId="2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7" sqref="A17"/>
    </sheetView>
  </sheetViews>
  <sheetFormatPr baseColWidth="8" defaultRowHeight="15" outlineLevelCol="0"/>
  <cols>
    <col width="84.140625" customWidth="1" min="1" max="1"/>
  </cols>
  <sheetData>
    <row r="1" ht="18.75" customHeight="1">
      <c r="A1" s="1" t="inlineStr">
        <is>
          <t>UTAIR — Frequent expendable RFQs (v2)</t>
        </is>
      </c>
    </row>
    <row r="3">
      <c r="A3" t="inlineStr">
        <is>
          <t>Please fill in your current purchase price (EA, USD) for the part numbers listed.</t>
        </is>
      </c>
    </row>
    <row r="4">
      <c r="A4" t="inlineStr">
        <is>
          <t>These items are among the most frequently requested expendables in recent RFQs.</t>
        </is>
      </c>
    </row>
    <row r="5">
      <c r="A5" t="inlineStr">
        <is>
          <t>Yellow columns are for your input.</t>
        </is>
      </c>
    </row>
    <row r="7">
      <c r="A7" t="inlineStr">
        <is>
          <t>Columns:</t>
        </is>
      </c>
    </row>
    <row r="8">
      <c r="A8" t="inlineStr">
        <is>
          <t>P/N — part number</t>
        </is>
      </c>
    </row>
    <row r="9">
      <c r="A9" t="inlineStr">
        <is>
          <t>Description — item description from RFQ</t>
        </is>
      </c>
    </row>
    <row r="10">
      <c r="A10" t="inlineStr">
        <is>
          <t>RFQ count — number of separate customer requests</t>
        </is>
      </c>
    </row>
    <row r="11">
      <c r="A11" t="inlineStr">
        <is>
          <t>Total qty requested — sum of quantities across those RFQs</t>
        </is>
      </c>
    </row>
    <row r="12">
      <c r="A12" t="inlineStr">
        <is>
          <t>Our offers count — number of commercial offers we sent (1 per RFQ; options calculated for comparison are not counted separately)</t>
        </is>
      </c>
    </row>
    <row r="13">
      <c r="A13" t="inlineStr">
        <is>
          <t>Our average offer price EA (USD) — average unit price of sent offers</t>
        </is>
      </c>
    </row>
    <row r="14">
      <c r="A14" t="inlineStr">
        <is>
          <t>Your purchase price EA (USD) — please enter your unit buy price</t>
        </is>
      </c>
    </row>
    <row r="15">
      <c r="A15" t="inlineStr">
        <is>
          <t>Comments — optional (MOQ, condition, validity)</t>
        </is>
      </c>
    </row>
    <row r="17">
      <c r="A17" t="inlineStr">
        <is>
          <t>Thank you!</t>
        </is>
      </c>
    </row>
    <row r="18">
      <c r="A18" t="inlineStr"/>
    </row>
    <row r="19">
      <c r="A19" t="inlineStr">
        <is>
          <t>Columns K–V (blue headers) — our quoting snapshot (internal):</t>
        </is>
      </c>
    </row>
    <row r="20">
      <c r="A20" t="inlineStr">
        <is>
          <t>K — Source / Supplier (same as column K in Expendables table)</t>
        </is>
      </c>
    </row>
    <row r="21">
      <c r="A21" t="inlineStr">
        <is>
          <t>L — Source type (OEM portal / broker / distributor)</t>
        </is>
      </c>
    </row>
    <row r="22">
      <c r="A22" t="inlineStr">
        <is>
          <t>M — Our purchase EA median (USD)</t>
        </is>
      </c>
    </row>
    <row r="23">
      <c r="A23" t="inlineStr">
        <is>
          <t>N — Our DDP MOW EA median (USD) — how we quote</t>
        </is>
      </c>
    </row>
    <row r="24">
      <c r="A24" t="inlineStr">
        <is>
          <t>O — Markup % median = (DDP − Purchase) / Purchase</t>
        </is>
      </c>
    </row>
    <row r="25">
      <c r="A25" t="inlineStr">
        <is>
          <t>P — Our offer (col G) ÷ Client target (col H)</t>
        </is>
      </c>
    </row>
    <row r="26">
      <c r="A26" t="inlineStr">
        <is>
          <t>Q — Gap % vs client target (red ≥100%, orange ≥40%)</t>
        </is>
      </c>
    </row>
    <row r="27">
      <c r="A27" t="inlineStr">
        <is>
          <t>R–S — On-hand stock (FASTAIR 27.07.2026, status Остаток)</t>
        </is>
      </c>
    </row>
    <row r="28">
      <c r="A28" t="inlineStr">
        <is>
          <t>T — BOS quote value dropped when portal price exists</t>
        </is>
      </c>
    </row>
    <row r="29">
      <c r="A29" t="inlineStr">
        <is>
          <t>U — Priority action (P0 first)</t>
        </is>
      </c>
    </row>
    <row r="30">
      <c r="A30" t="inlineStr">
        <is>
          <t>V — Internal note from RFQ analysis</t>
        </is>
      </c>
    </row>
    <row r="31">
      <c r="A31" t="inlineStr">
        <is>
          <t>Updated: 27.07.2026 16:24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23" sqref="G23"/>
    </sheetView>
  </sheetViews>
  <sheetFormatPr baseColWidth="8" defaultRowHeight="15" outlineLevelCol="0"/>
  <cols>
    <col width="5" customWidth="1" min="1" max="1"/>
    <col width="20" customWidth="1" min="2" max="2"/>
    <col width="33.5703125" customWidth="1" min="3" max="3"/>
    <col width="7.42578125" customWidth="1" min="4" max="4"/>
    <col width="10.85546875" customWidth="1" style="14" min="5" max="5"/>
    <col width="8.85546875" customWidth="1" min="6" max="6"/>
    <col width="20.85546875" customWidth="1" min="7" max="7"/>
    <col width="23.42578125" customWidth="1" min="8" max="8"/>
    <col width="27.85546875" customWidth="1" style="20" min="9" max="9"/>
    <col width="17.28515625" customWidth="1" min="10" max="10"/>
    <col width="28" customWidth="1" min="11" max="11"/>
    <col width="16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0" customWidth="1" min="18" max="18"/>
    <col width="22" customWidth="1" min="19" max="19"/>
    <col width="14" customWidth="1" min="20" max="20"/>
    <col width="36" customWidth="1" min="21" max="21"/>
    <col width="40" customWidth="1" min="22" max="22"/>
  </cols>
  <sheetData>
    <row r="1" ht="48" customHeight="1">
      <c r="A1" s="2" t="inlineStr">
        <is>
          <t>#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RFQ count</t>
        </is>
      </c>
      <c r="E1" s="2" t="inlineStr">
        <is>
          <t>Total qty requested</t>
        </is>
      </c>
      <c r="F1" s="2" t="inlineStr">
        <is>
          <t>Our offers count</t>
        </is>
      </c>
      <c r="G1" s="2" t="inlineStr">
        <is>
          <t>Our average offer price EA (USD)</t>
        </is>
      </c>
      <c r="H1" s="2" t="inlineStr">
        <is>
          <t>Your purchase price EA (USD)</t>
        </is>
      </c>
      <c r="I1" s="2" t="inlineStr">
        <is>
          <t>Comments</t>
        </is>
      </c>
      <c r="J1" s="2" t="inlineStr">
        <is>
          <t>Среднегодовой расход</t>
        </is>
      </c>
      <c r="K1" s="21" t="inlineStr">
        <is>
          <t>Источник (Supplier, col K Expendables)</t>
        </is>
      </c>
      <c r="L1" s="21" t="inlineStr">
        <is>
          <t>Тип источника</t>
        </is>
      </c>
      <c r="M1" s="21" t="inlineStr">
        <is>
          <t>Наша закупка EA median, USD</t>
        </is>
      </c>
      <c r="N1" s="21" t="inlineStr">
        <is>
          <t>Наш DDP EA median, USD</t>
        </is>
      </c>
      <c r="O1" s="21" t="inlineStr">
        <is>
          <t>Наценка % (median)</t>
        </is>
      </c>
      <c r="P1" s="21" t="inlineStr">
        <is>
          <t>Наш оффер / таргет клиента</t>
        </is>
      </c>
      <c r="Q1" s="21" t="inlineStr">
        <is>
          <t>Разрыв к таргету %</t>
        </is>
      </c>
      <c r="R1" s="21" t="inlineStr">
        <is>
          <t>Склад qty</t>
        </is>
      </c>
      <c r="S1" s="21" t="inlineStr">
        <is>
          <t>Склад (P/N × qty)</t>
        </is>
      </c>
      <c r="T1" s="21" t="inlineStr">
        <is>
          <t>BOS отброшен vs portal, $</t>
        </is>
      </c>
      <c r="U1" s="21" t="inlineStr">
        <is>
          <t>Приоритет / действие</t>
        </is>
      </c>
      <c r="V1" s="21" t="inlineStr">
        <is>
          <t>Почему полезно (внутр.)</t>
        </is>
      </c>
    </row>
    <row r="2">
      <c r="A2" s="3" t="n">
        <v>1</v>
      </c>
      <c r="B2" s="4" t="inlineStr">
        <is>
          <t>31460-5</t>
        </is>
      </c>
      <c r="C2" s="5" t="inlineStr">
        <is>
          <t>HYDRAULIC TIMER</t>
        </is>
      </c>
      <c r="D2" s="3" t="n">
        <v>5</v>
      </c>
      <c r="E2" s="12" t="n">
        <v>67</v>
      </c>
      <c r="F2" s="3" t="n">
        <v>5</v>
      </c>
      <c r="G2" s="6" t="n">
        <v>8560</v>
      </c>
      <c r="H2" s="7">
        <f>AVERAGE(4000,7315,7450)</f>
        <v/>
      </c>
      <c r="I2" s="18" t="inlineStr">
        <is>
          <t>средняя цена по EXW</t>
        </is>
      </c>
      <c r="J2" s="14" t="n">
        <v>1.6</v>
      </c>
      <c r="K2" s="22" t="inlineStr">
        <is>
          <t>WENCOR (OEM portal)</t>
        </is>
      </c>
      <c r="L2" s="22" t="inlineStr">
        <is>
          <t>PROPONENT/WENCOR</t>
        </is>
      </c>
      <c r="M2" s="23" t="n">
        <v>6050.54</v>
      </c>
      <c r="N2" s="23" t="n">
        <v>8400</v>
      </c>
      <c r="O2" s="24" t="n">
        <v>38.8</v>
      </c>
      <c r="P2" s="22" t="n">
        <v>1.37</v>
      </c>
      <c r="Q2" s="25" t="n">
        <v>36.9</v>
      </c>
      <c r="R2" s="22" t="n">
        <v>0</v>
      </c>
      <c r="S2" s="22" t="inlineStr">
        <is>
          <t>—</t>
        </is>
      </c>
      <c r="T2" s="22" t="inlineStr">
        <is>
          <t>—</t>
        </is>
      </c>
      <c r="U2" s="26" t="inlineStr">
        <is>
          <t>P3 · разрыв умеренный</t>
        </is>
      </c>
      <c r="V2" s="22" t="inlineStr">
        <is>
          <t>часто спрашивают; крупная сумма; заказа не было — зона роста; наценка уже ниже; цена с портала</t>
        </is>
      </c>
    </row>
    <row r="3">
      <c r="A3" s="8" t="n">
        <v>2</v>
      </c>
      <c r="B3" s="9" t="inlineStr">
        <is>
          <t>810483-2</t>
        </is>
      </c>
      <c r="C3" s="10" t="inlineStr">
        <is>
          <t>SEAL - CAP</t>
        </is>
      </c>
      <c r="D3" s="8" t="n">
        <v>5</v>
      </c>
      <c r="E3" s="13" t="n">
        <v>18</v>
      </c>
      <c r="F3" s="8" t="n">
        <v>5</v>
      </c>
      <c r="G3" s="11" t="n">
        <v>5324</v>
      </c>
      <c r="H3" s="7">
        <f>AVERAGE(860,957.5,1205)</f>
        <v/>
      </c>
      <c r="I3" s="18" t="inlineStr">
        <is>
          <t>средняя цена по EXW</t>
        </is>
      </c>
      <c r="J3" s="14" t="n">
        <v>17</v>
      </c>
      <c r="K3" s="22" t="inlineStr">
        <is>
          <t>BOS (broker only)</t>
        </is>
      </c>
      <c r="L3" s="22" t="inlineStr">
        <is>
          <t>BOS_ONLY</t>
        </is>
      </c>
      <c r="M3" s="23" t="n">
        <v>1320</v>
      </c>
      <c r="N3" s="23" t="n">
        <v>2010</v>
      </c>
      <c r="O3" s="24" t="n">
        <v>52.3</v>
      </c>
      <c r="P3" s="22" t="n">
        <v>5.28</v>
      </c>
      <c r="Q3" s="27" t="n">
        <v>428.4</v>
      </c>
      <c r="R3" s="22" t="n">
        <v>0</v>
      </c>
      <c r="S3" s="22" t="inlineStr">
        <is>
          <t>—</t>
        </is>
      </c>
      <c r="T3" s="22" t="inlineStr">
        <is>
          <t>—</t>
        </is>
      </c>
      <c r="U3" s="28" t="inlineStr">
        <is>
          <t>P1 · уйти с BOS на портал/OEM</t>
        </is>
      </c>
      <c r="V3" s="22" t="inlineStr">
        <is>
          <t>часто спрашивают; заметная сумма; заказа не было — зона роста; только BOS — осторожно</t>
        </is>
      </c>
    </row>
    <row r="4">
      <c r="A4" s="3" t="n">
        <v>3</v>
      </c>
      <c r="B4" s="4" t="inlineStr">
        <is>
          <t>2614478</t>
        </is>
      </c>
      <c r="C4" s="5" t="inlineStr">
        <is>
          <t>SCREW, MACHINE</t>
        </is>
      </c>
      <c r="D4" s="3" t="n">
        <v>8</v>
      </c>
      <c r="E4" s="12" t="n">
        <v>288</v>
      </c>
      <c r="F4" s="3" t="n">
        <v>8</v>
      </c>
      <c r="G4" s="6" t="n">
        <v>228.5</v>
      </c>
      <c r="H4" s="7" t="n">
        <v>102.47</v>
      </c>
      <c r="I4" s="18" t="inlineStr">
        <is>
          <t>средняя цена по EXW</t>
        </is>
      </c>
      <c r="J4" s="14" t="n">
        <v>835</v>
      </c>
      <c r="K4" s="22" t="inlineStr">
        <is>
          <t>AVIALL, BOS (distributor)</t>
        </is>
      </c>
      <c r="L4" s="22" t="inlineStr">
        <is>
          <t>DISTRIBUTOR</t>
        </is>
      </c>
      <c r="M4" s="23" t="n">
        <v>106</v>
      </c>
      <c r="N4" s="23" t="n">
        <v>205</v>
      </c>
      <c r="O4" s="24" t="n">
        <v>78.8</v>
      </c>
      <c r="P4" s="22" t="n">
        <v>2.23</v>
      </c>
      <c r="Q4" s="27" t="n">
        <v>123</v>
      </c>
      <c r="R4" s="22" t="n">
        <v>0</v>
      </c>
      <c r="S4" s="22" t="inlineStr">
        <is>
          <t>—</t>
        </is>
      </c>
      <c r="T4" s="22" t="inlineStr">
        <is>
          <t>—</t>
        </is>
      </c>
      <c r="U4" s="29" t="inlineStr">
        <is>
          <t>P0 · главный объёмный рычаг (~835/год)</t>
        </is>
      </c>
      <c r="V4" s="22" t="inlineStr">
        <is>
          <t>часто спрашивают; заметная сумма; заказа не было — зона роста; наценка высокая</t>
        </is>
      </c>
    </row>
    <row r="5" ht="30" customHeight="1">
      <c r="A5" s="8" t="n">
        <v>4</v>
      </c>
      <c r="B5" s="9" t="inlineStr">
        <is>
          <t>RAA2196-4</t>
        </is>
      </c>
      <c r="C5" s="10" t="inlineStr">
        <is>
          <t>SWITCH</t>
        </is>
      </c>
      <c r="D5" s="8" t="n">
        <v>3</v>
      </c>
      <c r="E5" s="13" t="n">
        <v>6</v>
      </c>
      <c r="F5" s="8" t="n">
        <v>3</v>
      </c>
      <c r="G5" s="11" t="n">
        <v>27933.33</v>
      </c>
      <c r="H5" s="7" t="n">
        <v>24700</v>
      </c>
      <c r="I5" s="18" t="inlineStr">
        <is>
          <t>запрос был под БТО, мин. Цена, EXW</t>
        </is>
      </c>
      <c r="J5" s="14" t="n">
        <v>2</v>
      </c>
      <c r="K5" s="22" t="inlineStr">
        <is>
          <t>AVIALL (distributor)</t>
        </is>
      </c>
      <c r="L5" s="22" t="inlineStr">
        <is>
          <t>DISTRIBUTOR</t>
        </is>
      </c>
      <c r="M5" s="23" t="n">
        <v>20300</v>
      </c>
      <c r="N5" s="23" t="n">
        <v>28000</v>
      </c>
      <c r="O5" s="24" t="n">
        <v>37.9</v>
      </c>
      <c r="P5" s="22" t="n">
        <v>1.13</v>
      </c>
      <c r="Q5" s="25" t="n">
        <v>13.1</v>
      </c>
      <c r="R5" s="22" t="n">
        <v>0</v>
      </c>
      <c r="S5" s="22" t="inlineStr">
        <is>
          <t>—</t>
        </is>
      </c>
      <c r="T5" s="22" t="inlineStr">
        <is>
          <t>—</t>
        </is>
      </c>
      <c r="U5" s="26" t="inlineStr">
        <is>
          <t>P3 · уже близко (+13%)</t>
        </is>
      </c>
      <c r="V5" s="22" t="inlineStr">
        <is>
          <t>повторяющийся спрос (≥3 RFQ); крупная сумма; заказа не было — зона роста; наценка уже ниже</t>
        </is>
      </c>
    </row>
    <row r="6" ht="45" customHeight="1">
      <c r="A6" s="3" t="n">
        <v>5</v>
      </c>
      <c r="B6" s="4" t="inlineStr">
        <is>
          <t>CR3524-6-03</t>
        </is>
      </c>
      <c r="C6" s="5" t="inlineStr">
        <is>
          <t>RIVET</t>
        </is>
      </c>
      <c r="D6" s="3" t="n">
        <v>3</v>
      </c>
      <c r="E6" s="12" t="n">
        <v>1360</v>
      </c>
      <c r="F6" s="3" t="n">
        <v>3</v>
      </c>
      <c r="G6" s="6" t="n">
        <v>149.33</v>
      </c>
      <c r="H6" s="15">
        <f>AVERAGE(7.6,8)</f>
        <v/>
      </c>
      <c r="I6" s="19" t="inlineStr">
        <is>
          <t>средняя цена по EXW, поставки еще не было, много отмен</t>
        </is>
      </c>
      <c r="J6" s="14" t="n">
        <v>964</v>
      </c>
      <c r="K6" s="22" t="inlineStr">
        <is>
          <t>BOS, MARKET</t>
        </is>
      </c>
      <c r="L6" s="22" t="inlineStr">
        <is>
          <t>OTHER</t>
        </is>
      </c>
      <c r="M6" s="23" t="n">
        <v>65</v>
      </c>
      <c r="N6" s="23" t="n">
        <v>114</v>
      </c>
      <c r="O6" s="24" t="n">
        <v>69</v>
      </c>
      <c r="P6" s="22" t="n">
        <v>19.14</v>
      </c>
      <c r="Q6" s="27" t="n">
        <v>1814.5</v>
      </c>
      <c r="R6" s="22" t="n">
        <v>0</v>
      </c>
      <c r="S6" s="22" t="inlineStr">
        <is>
          <t>—</t>
        </is>
      </c>
      <c r="T6" s="22" t="inlineStr">
        <is>
          <t>—</t>
        </is>
      </c>
      <c r="U6" s="29" t="inlineStr">
        <is>
          <t>P0 · пересобрать закупку, ×18 к таргету</t>
        </is>
      </c>
      <c r="V6" s="22" t="inlineStr">
        <is>
          <t>повторяющийся спрос (≥3 RFQ); крупная сумма; большой объём шт; заказа не было — зона роста</t>
        </is>
      </c>
    </row>
    <row r="7" ht="30" customHeight="1">
      <c r="A7" s="8" t="n">
        <v>6</v>
      </c>
      <c r="B7" s="9" t="inlineStr">
        <is>
          <t>3036376</t>
        </is>
      </c>
      <c r="C7" s="10" t="inlineStr">
        <is>
          <t>FILTER ELEMENT</t>
        </is>
      </c>
      <c r="D7" s="8" t="n">
        <v>3</v>
      </c>
      <c r="E7" s="13" t="n">
        <v>48</v>
      </c>
      <c r="F7" s="8" t="n">
        <v>3</v>
      </c>
      <c r="G7" s="11" t="n">
        <v>2146.67</v>
      </c>
      <c r="H7" s="7">
        <f>AVERAGE(243,183)</f>
        <v/>
      </c>
      <c r="I7" s="18" t="inlineStr">
        <is>
          <t>средняя цена по EXW на альт 7578659AM</t>
        </is>
      </c>
      <c r="J7" s="14" t="n">
        <v>21</v>
      </c>
      <c r="K7" s="22" t="inlineStr">
        <is>
          <t>AVIALL, SATAIR (distributor)</t>
        </is>
      </c>
      <c r="L7" s="22" t="inlineStr">
        <is>
          <t>DISTRIBUTOR</t>
        </is>
      </c>
      <c r="M7" s="23" t="n">
        <v>1710</v>
      </c>
      <c r="N7" s="23" t="n">
        <v>2400</v>
      </c>
      <c r="O7" s="24" t="n">
        <v>53.2</v>
      </c>
      <c r="P7" s="22" t="n">
        <v>10.08</v>
      </c>
      <c r="Q7" s="27" t="n">
        <v>907.8</v>
      </c>
      <c r="R7" s="30" t="n">
        <v>12</v>
      </c>
      <c r="S7" s="22" t="inlineStr">
        <is>
          <t>3036376×4; 3036376WE×8</t>
        </is>
      </c>
      <c r="T7" s="22" t="inlineStr">
        <is>
          <t>—</t>
        </is>
      </c>
      <c r="U7" s="29" t="inlineStr">
        <is>
          <t>P0 · офферить со склада (есть остаток)</t>
        </is>
      </c>
      <c r="V7" s="22" t="inlineStr">
        <is>
          <t>повторяющийся спрос (≥3 RFQ); варианты: 7 строк / 3 RFQ; крупная сумма; заказа не было — зона роста</t>
        </is>
      </c>
    </row>
    <row r="8" ht="30" customHeight="1">
      <c r="A8" s="3" t="n">
        <v>7</v>
      </c>
      <c r="B8" s="4" t="inlineStr">
        <is>
          <t>1C7003-3ABE</t>
        </is>
      </c>
      <c r="C8" s="5" t="inlineStr">
        <is>
          <t>CUSHION</t>
        </is>
      </c>
      <c r="D8" s="3" t="n">
        <v>3</v>
      </c>
      <c r="E8" s="12" t="n">
        <v>7</v>
      </c>
      <c r="F8" s="3" t="n">
        <v>3</v>
      </c>
      <c r="G8" s="6" t="n">
        <v>13433.33</v>
      </c>
      <c r="H8" s="7" t="n">
        <v>6074.69</v>
      </c>
      <c r="I8" s="18" t="inlineStr">
        <is>
          <t>запрос под мел D, сред цена по DAP</t>
        </is>
      </c>
      <c r="J8" s="14" t="n">
        <v>3</v>
      </c>
      <c r="K8" s="22" t="inlineStr">
        <is>
          <t>BOS (broker only)</t>
        </is>
      </c>
      <c r="L8" s="22" t="inlineStr">
        <is>
          <t>BOS_ONLY</t>
        </is>
      </c>
      <c r="M8" s="23" t="n">
        <v>8704</v>
      </c>
      <c r="N8" s="23" t="n">
        <v>12400</v>
      </c>
      <c r="O8" s="24" t="n">
        <v>42.5</v>
      </c>
      <c r="P8" s="22" t="n">
        <v>2.21</v>
      </c>
      <c r="Q8" s="27" t="n">
        <v>121.1</v>
      </c>
      <c r="R8" s="22" t="n">
        <v>0</v>
      </c>
      <c r="S8" s="22" t="inlineStr">
        <is>
          <t>—</t>
        </is>
      </c>
      <c r="T8" s="22" t="inlineStr">
        <is>
          <t>—</t>
        </is>
      </c>
      <c r="U8" s="31" t="inlineStr">
        <is>
          <t>P2 · сверить DAP/Incoterms</t>
        </is>
      </c>
      <c r="V8" s="22" t="inlineStr">
        <is>
          <t>повторяющийся спрос (≥3 RFQ); заметная сумма; заказа не было — зона роста; только BOS — осторожно</t>
        </is>
      </c>
    </row>
    <row r="9" ht="45" customHeight="1">
      <c r="A9" s="8" t="n">
        <v>8</v>
      </c>
      <c r="B9" s="9" t="inlineStr">
        <is>
          <t>67839</t>
        </is>
      </c>
      <c r="C9" s="10" t="inlineStr">
        <is>
          <t>CARTRIDGE VALVE ASSY</t>
        </is>
      </c>
      <c r="D9" s="8" t="n">
        <v>3</v>
      </c>
      <c r="E9" s="13" t="n">
        <v>17</v>
      </c>
      <c r="F9" s="8" t="n">
        <v>3</v>
      </c>
      <c r="G9" s="11" t="n">
        <v>4803.33</v>
      </c>
      <c r="H9" s="17">
        <f>AVERAGE(3500,1300,800)</f>
        <v/>
      </c>
      <c r="I9" s="18" t="inlineStr">
        <is>
          <t>средняя цена по EXW, предложения на альт 67839WE</t>
        </is>
      </c>
      <c r="J9" s="14" t="n">
        <v>25.4</v>
      </c>
      <c r="K9" s="22" t="inlineStr">
        <is>
          <t>WENCOR (OEM portal)</t>
        </is>
      </c>
      <c r="L9" s="22" t="inlineStr">
        <is>
          <t>PROPONENT/WENCOR</t>
        </is>
      </c>
      <c r="M9" s="23" t="n">
        <v>3058.78</v>
      </c>
      <c r="N9" s="23" t="n">
        <v>4800</v>
      </c>
      <c r="O9" s="24" t="n">
        <v>56.9</v>
      </c>
      <c r="P9" s="22" t="n">
        <v>2.57</v>
      </c>
      <c r="Q9" s="27" t="n">
        <v>157.3</v>
      </c>
      <c r="R9" s="22" t="n">
        <v>0</v>
      </c>
      <c r="S9" s="22" t="inlineStr">
        <is>
          <t>—</t>
        </is>
      </c>
      <c r="T9" s="22" t="inlineStr">
        <is>
          <t>—</t>
        </is>
      </c>
      <c r="U9" s="28" t="inlineStr">
        <is>
          <t>P1 · проверить alt 67839WE</t>
        </is>
      </c>
      <c r="V9" s="22" t="inlineStr">
        <is>
          <t>повторяющийся спрос (≥3 RFQ); заметная сумма; заказа не было — зона роста; цена с портала</t>
        </is>
      </c>
    </row>
    <row r="10" ht="45" customHeight="1">
      <c r="A10" s="3" t="n">
        <v>9</v>
      </c>
      <c r="B10" s="4" t="inlineStr">
        <is>
          <t>310A2042-3</t>
        </is>
      </c>
      <c r="C10" s="5" t="inlineStr">
        <is>
          <t>PIN</t>
        </is>
      </c>
      <c r="D10" s="3" t="n">
        <v>3</v>
      </c>
      <c r="E10" s="12" t="n">
        <v>9</v>
      </c>
      <c r="F10" s="3" t="n">
        <v>3</v>
      </c>
      <c r="G10" s="6" t="n">
        <v>7583.33</v>
      </c>
      <c r="H10" s="7" t="n">
        <v>5360.23</v>
      </c>
      <c r="I10" s="18" t="inlineStr">
        <is>
          <t>не входит в НЗ, заказывалось под работу, мин цена на EXW</t>
        </is>
      </c>
      <c r="J10" s="14" t="n">
        <v>0</v>
      </c>
      <c r="K10" s="22" t="inlineStr">
        <is>
          <t>WENCOR (OEM portal)</t>
        </is>
      </c>
      <c r="L10" s="22" t="inlineStr">
        <is>
          <t>PROPONENT/WENCOR</t>
        </is>
      </c>
      <c r="M10" s="23" t="n">
        <v>5306.25</v>
      </c>
      <c r="N10" s="23" t="n">
        <v>7700</v>
      </c>
      <c r="O10" s="24" t="n">
        <v>43.1</v>
      </c>
      <c r="P10" s="22" t="n">
        <v>1.41</v>
      </c>
      <c r="Q10" s="32" t="n">
        <v>41.5</v>
      </c>
      <c r="R10" s="22" t="n">
        <v>0</v>
      </c>
      <c r="S10" s="22" t="inlineStr">
        <is>
          <t>—</t>
        </is>
      </c>
      <c r="T10" s="22" t="inlineStr">
        <is>
          <t>—</t>
        </is>
      </c>
      <c r="U10" s="26" t="inlineStr">
        <is>
          <t>P3 · не в НЗ</t>
        </is>
      </c>
      <c r="V10" s="22" t="inlineStr">
        <is>
          <t>повторяющийся спрос (≥3 RFQ); заметная сумма; заказа не было — зона роста; цена с портала</t>
        </is>
      </c>
    </row>
    <row r="11" ht="30" customHeight="1">
      <c r="A11" s="8" t="n">
        <v>10</v>
      </c>
      <c r="B11" s="9" t="inlineStr">
        <is>
          <t>90G97</t>
        </is>
      </c>
      <c r="C11" s="10" t="inlineStr">
        <is>
          <t>SWITCH</t>
        </is>
      </c>
      <c r="D11" s="8" t="n">
        <v>4</v>
      </c>
      <c r="E11" s="13" t="n">
        <v>6</v>
      </c>
      <c r="F11" s="8" t="n">
        <v>4</v>
      </c>
      <c r="G11" s="11" t="n">
        <v>11000</v>
      </c>
      <c r="H11" s="7">
        <f>AVERAGE(2800,2850,3800)</f>
        <v/>
      </c>
      <c r="I11" s="18" t="inlineStr">
        <is>
          <t>средняя цена EXW, состояние от T до OH</t>
        </is>
      </c>
      <c r="J11" s="14" t="n">
        <v>3</v>
      </c>
      <c r="K11" s="22" t="inlineStr">
        <is>
          <t>AVIALL, BOS (distributor)</t>
        </is>
      </c>
      <c r="L11" s="22" t="inlineStr">
        <is>
          <t>DISTRIBUTOR</t>
        </is>
      </c>
      <c r="M11" s="23" t="n">
        <v>7650</v>
      </c>
      <c r="N11" s="23" t="n">
        <v>11400</v>
      </c>
      <c r="O11" s="24" t="n">
        <v>52.5</v>
      </c>
      <c r="P11" s="22" t="n">
        <v>3.49</v>
      </c>
      <c r="Q11" s="27" t="n">
        <v>249.2</v>
      </c>
      <c r="R11" s="22" t="n">
        <v>0</v>
      </c>
      <c r="S11" s="22" t="inlineStr">
        <is>
          <t>—</t>
        </is>
      </c>
      <c r="T11" s="22" t="inlineStr">
        <is>
          <t>—</t>
        </is>
      </c>
      <c r="U11" s="28" t="inlineStr">
        <is>
          <t>P1 · уточнить condition, снизить к таргету</t>
        </is>
      </c>
      <c r="V11" s="22" t="inlineStr">
        <is>
          <t>повторяющийся спрос (≥3 RFQ); заметная сумма; заказа не было — зона роста</t>
        </is>
      </c>
    </row>
    <row r="12">
      <c r="A12" s="3" t="n">
        <v>11</v>
      </c>
      <c r="B12" s="4" t="inlineStr">
        <is>
          <t>2100002-01-104</t>
        </is>
      </c>
      <c r="C12" s="5" t="inlineStr">
        <is>
          <t>RESTRAINT ASSY</t>
        </is>
      </c>
      <c r="D12" s="3" t="n">
        <v>3</v>
      </c>
      <c r="E12" s="12" t="n">
        <v>25</v>
      </c>
      <c r="F12" s="3" t="n">
        <v>3</v>
      </c>
      <c r="G12" s="6" t="n">
        <v>7005</v>
      </c>
      <c r="H12" s="7">
        <f>AVERAGE(3900,3582)</f>
        <v/>
      </c>
      <c r="I12" s="18" t="inlineStr">
        <is>
          <t>средняя цена EXW</t>
        </is>
      </c>
      <c r="J12" s="14" t="n">
        <v>23</v>
      </c>
      <c r="K12" s="22" t="inlineStr">
        <is>
          <t>PROPONENT (OEM portal)</t>
        </is>
      </c>
      <c r="L12" s="22" t="inlineStr">
        <is>
          <t>PROPONENT/WENCOR</t>
        </is>
      </c>
      <c r="M12" s="23" t="n">
        <v>4579.5</v>
      </c>
      <c r="N12" s="23" t="n">
        <v>7005</v>
      </c>
      <c r="O12" s="24" t="n">
        <v>53</v>
      </c>
      <c r="P12" s="22" t="n">
        <v>1.87</v>
      </c>
      <c r="Q12" s="32" t="n">
        <v>87.2</v>
      </c>
      <c r="R12" s="22" t="n">
        <v>0</v>
      </c>
      <c r="S12" s="22" t="inlineStr">
        <is>
          <t>—</t>
        </is>
      </c>
      <c r="T12" s="22" t="n">
        <v>18000</v>
      </c>
      <c r="U12" s="28" t="inlineStr">
        <is>
          <t>P1 · высокий $ объём, снизить оффер</t>
        </is>
      </c>
      <c r="V12" s="22" t="inlineStr">
        <is>
          <t>повторяющийся спрос (≥3 RFQ); BOS отсечён ≈$18,000; заметная сумма; заказа не было — зона роста; цена с портала</t>
        </is>
      </c>
    </row>
    <row r="13">
      <c r="A13" s="8" t="n">
        <v>12</v>
      </c>
      <c r="B13" s="9" t="inlineStr">
        <is>
          <t>141A6075-3</t>
        </is>
      </c>
      <c r="C13" s="10" t="inlineStr">
        <is>
          <t>ARM ASSY</t>
        </is>
      </c>
      <c r="D13" s="8" t="n">
        <v>3</v>
      </c>
      <c r="E13" s="13" t="n">
        <v>6</v>
      </c>
      <c r="F13" s="8" t="n">
        <v>3</v>
      </c>
      <c r="G13" s="11" t="n">
        <v>13866.67</v>
      </c>
      <c r="H13" s="7" t="n">
        <v>7212.98</v>
      </c>
      <c r="I13" s="18" t="inlineStr">
        <is>
          <t>средняя цена EXW</t>
        </is>
      </c>
      <c r="J13" s="14" t="n">
        <v>6</v>
      </c>
      <c r="K13" s="22" t="inlineStr">
        <is>
          <t>BOS (broker only)</t>
        </is>
      </c>
      <c r="L13" s="22" t="inlineStr">
        <is>
          <t>BOS_ONLY</t>
        </is>
      </c>
      <c r="M13" s="23" t="n">
        <v>9537.5</v>
      </c>
      <c r="N13" s="23" t="n">
        <v>13800</v>
      </c>
      <c r="O13" s="24" t="n">
        <v>41.8</v>
      </c>
      <c r="P13" s="22" t="n">
        <v>1.92</v>
      </c>
      <c r="Q13" s="32" t="n">
        <v>92.2</v>
      </c>
      <c r="R13" s="22" t="n">
        <v>0</v>
      </c>
      <c r="S13" s="22" t="inlineStr">
        <is>
          <t>—</t>
        </is>
      </c>
      <c r="T13" s="22" t="inlineStr">
        <is>
          <t>—</t>
        </is>
      </c>
      <c r="U13" s="31" t="inlineStr">
        <is>
          <t>P2 · снизить оффер</t>
        </is>
      </c>
      <c r="V13" s="22" t="inlineStr">
        <is>
          <t>повторяющийся спрос (≥3 RFQ); заметная сумма; заказа не было — зона роста; только BOS — осторожно</t>
        </is>
      </c>
    </row>
    <row r="14">
      <c r="A14" s="3" t="n">
        <v>13</v>
      </c>
      <c r="B14" s="4" t="inlineStr">
        <is>
          <t>113A9309-1</t>
        </is>
      </c>
      <c r="C14" s="5" t="inlineStr">
        <is>
          <t>BUSHING-PIVOT BOLT</t>
        </is>
      </c>
      <c r="D14" s="3" t="n">
        <v>3</v>
      </c>
      <c r="E14" s="12" t="n">
        <v>17</v>
      </c>
      <c r="F14" s="3" t="n">
        <v>3</v>
      </c>
      <c r="G14" s="6" t="n">
        <v>4130</v>
      </c>
      <c r="H14" s="7" t="n">
        <v>2214.97</v>
      </c>
      <c r="I14" s="18" t="inlineStr">
        <is>
          <t>средняя цена EXW</t>
        </is>
      </c>
      <c r="J14" s="14" t="n">
        <v>6</v>
      </c>
      <c r="K14" s="22" t="inlineStr">
        <is>
          <t>WENCOR (OEM portal)</t>
        </is>
      </c>
      <c r="L14" s="22" t="inlineStr">
        <is>
          <t>PROPONENT/WENCOR</t>
        </is>
      </c>
      <c r="M14" s="23" t="n">
        <v>2670</v>
      </c>
      <c r="N14" s="23" t="n">
        <v>4130</v>
      </c>
      <c r="O14" s="24" t="n">
        <v>54.8</v>
      </c>
      <c r="P14" s="22" t="n">
        <v>1.86</v>
      </c>
      <c r="Q14" s="32" t="n">
        <v>86.5</v>
      </c>
      <c r="R14" s="22" t="n">
        <v>0</v>
      </c>
      <c r="S14" s="22" t="inlineStr">
        <is>
          <t>—</t>
        </is>
      </c>
      <c r="T14" s="22" t="n">
        <v>35800</v>
      </c>
      <c r="U14" s="31" t="inlineStr">
        <is>
          <t>P2 · снизить оффер</t>
        </is>
      </c>
      <c r="V14" s="22" t="inlineStr">
        <is>
          <t>повторяющийся спрос (≥3 RFQ); BOS отсечён ≈$35,800; заметная сумма; заказа не было — зона роста; цена с портала</t>
        </is>
      </c>
    </row>
    <row r="15" ht="30" customHeight="1">
      <c r="A15" s="8" t="n">
        <v>14</v>
      </c>
      <c r="B15" s="9" t="inlineStr">
        <is>
          <t>038845-1</t>
        </is>
      </c>
      <c r="C15" s="10" t="inlineStr">
        <is>
          <t>BRACKET-MOUNTING</t>
        </is>
      </c>
      <c r="D15" s="8" t="n">
        <v>4</v>
      </c>
      <c r="E15" s="13" t="n">
        <v>38</v>
      </c>
      <c r="F15" s="8" t="n">
        <v>4</v>
      </c>
      <c r="G15" s="11" t="n">
        <v>1225</v>
      </c>
      <c r="H15" s="7" t="n"/>
      <c r="I15" s="18" t="inlineStr">
        <is>
          <t>нет таргета, предложение на др п/н не альт</t>
        </is>
      </c>
      <c r="J15" s="14" t="n">
        <v>22</v>
      </c>
      <c r="K15" s="22" t="inlineStr">
        <is>
          <t>PROPONENT (OEM portal)</t>
        </is>
      </c>
      <c r="L15" s="22" t="inlineStr">
        <is>
          <t>PROPONENT/WENCOR</t>
        </is>
      </c>
      <c r="M15" s="23" t="n">
        <v>735.265</v>
      </c>
      <c r="N15" s="23" t="n">
        <v>1215</v>
      </c>
      <c r="O15" s="24" t="n">
        <v>68</v>
      </c>
      <c r="P15" s="22" t="n"/>
      <c r="Q15" s="22" t="n"/>
      <c r="R15" s="22" t="n">
        <v>0</v>
      </c>
      <c r="S15" s="22" t="inlineStr">
        <is>
          <t>—</t>
        </is>
      </c>
      <c r="T15" s="22" t="inlineStr">
        <is>
          <t>—</t>
        </is>
      </c>
      <c r="U15" s="22" t="inlineStr">
        <is>
          <t>— · нет таргета клиента</t>
        </is>
      </c>
      <c r="V15" s="22" t="inlineStr">
        <is>
          <t>повторяющийся спрос (≥3 RFQ); заметная сумма; заказа не было — зона роста; цена с портала</t>
        </is>
      </c>
    </row>
    <row r="16">
      <c r="A16" s="3" t="n">
        <v>15</v>
      </c>
      <c r="B16" s="4" t="inlineStr">
        <is>
          <t>1024366-311BHV</t>
        </is>
      </c>
      <c r="C16" s="5" t="inlineStr">
        <is>
          <t>BUMPER-ENDBAY</t>
        </is>
      </c>
      <c r="D16" s="3" t="n">
        <v>3</v>
      </c>
      <c r="E16" s="12" t="n">
        <v>120</v>
      </c>
      <c r="F16" s="3" t="n">
        <v>3</v>
      </c>
      <c r="G16" s="6" t="n">
        <v>670</v>
      </c>
      <c r="H16" s="7">
        <f>AVERAGE(355,435,314)</f>
        <v/>
      </c>
      <c r="I16" s="18" t="inlineStr">
        <is>
          <t>средняя цена EXW</t>
        </is>
      </c>
      <c r="J16" s="14" t="n">
        <v>19</v>
      </c>
      <c r="K16" s="22" t="inlineStr">
        <is>
          <t>BOS, SATAIR (distributor)</t>
        </is>
      </c>
      <c r="L16" s="22" t="inlineStr">
        <is>
          <t>DISTRIBUTOR</t>
        </is>
      </c>
      <c r="M16" s="23" t="n">
        <v>270</v>
      </c>
      <c r="N16" s="23" t="n">
        <v>480</v>
      </c>
      <c r="O16" s="24" t="n">
        <v>63.9</v>
      </c>
      <c r="P16" s="22" t="n">
        <v>1.82</v>
      </c>
      <c r="Q16" s="32" t="n">
        <v>82.09999999999999</v>
      </c>
      <c r="R16" s="22" t="n">
        <v>0</v>
      </c>
      <c r="S16" s="22" t="inlineStr">
        <is>
          <t>—</t>
        </is>
      </c>
      <c r="T16" s="22" t="inlineStr">
        <is>
          <t>—</t>
        </is>
      </c>
      <c r="U16" s="31" t="inlineStr">
        <is>
          <t>P2 · снизить оффер</t>
        </is>
      </c>
      <c r="V16" s="22" t="inlineStr">
        <is>
          <t>повторяющийся спрос (≥3 RFQ); заметная сумма; заказа не было — зона роста</t>
        </is>
      </c>
    </row>
    <row r="17">
      <c r="A17" s="8" t="n">
        <v>16</v>
      </c>
      <c r="B17" s="9" t="inlineStr">
        <is>
          <t>2100002-01-129</t>
        </is>
      </c>
      <c r="C17" s="10" t="inlineStr">
        <is>
          <t>RESTRAINT SYSTEM - SYS</t>
        </is>
      </c>
      <c r="D17" s="8" t="n">
        <v>3</v>
      </c>
      <c r="E17" s="13" t="n">
        <v>4</v>
      </c>
      <c r="F17" s="8" t="n">
        <v>3</v>
      </c>
      <c r="G17" s="11" t="n">
        <v>8266.67</v>
      </c>
      <c r="H17" s="7" t="n">
        <v>6533.16</v>
      </c>
      <c r="I17" s="18" t="inlineStr">
        <is>
          <t>средняя цена EXW</t>
        </is>
      </c>
      <c r="J17" s="14" t="n">
        <v>0.2</v>
      </c>
      <c r="K17" s="22" t="inlineStr">
        <is>
          <t>PROPONENT (OEM portal)</t>
        </is>
      </c>
      <c r="L17" s="22" t="inlineStr">
        <is>
          <t>PROPONENT/WENCOR</t>
        </is>
      </c>
      <c r="M17" s="23" t="n">
        <v>5544.53</v>
      </c>
      <c r="N17" s="23" t="n">
        <v>8200</v>
      </c>
      <c r="O17" s="24" t="n">
        <v>47.9</v>
      </c>
      <c r="P17" s="22" t="n">
        <v>1.27</v>
      </c>
      <c r="Q17" s="25" t="n">
        <v>26.5</v>
      </c>
      <c r="R17" s="22" t="n">
        <v>0</v>
      </c>
      <c r="S17" s="22" t="inlineStr">
        <is>
          <t>—</t>
        </is>
      </c>
      <c r="T17" s="22" t="inlineStr">
        <is>
          <t>—</t>
        </is>
      </c>
      <c r="U17" s="26" t="inlineStr">
        <is>
          <t>P3 · расход ~0</t>
        </is>
      </c>
      <c r="V17" s="22" t="inlineStr">
        <is>
          <t>повторяющийся спрос (≥3 RFQ); заметная сумма; заказа не было — зона роста; цена с портала</t>
        </is>
      </c>
    </row>
    <row r="18">
      <c r="A18" s="3" t="n">
        <v>17</v>
      </c>
      <c r="B18" s="4" t="inlineStr">
        <is>
          <t>1A296-0217HS</t>
        </is>
      </c>
      <c r="C18" s="5" t="inlineStr">
        <is>
          <t>COVER-BACK CUSHION</t>
        </is>
      </c>
      <c r="D18" s="3" t="n">
        <v>4</v>
      </c>
      <c r="E18" s="12" t="n">
        <v>14</v>
      </c>
      <c r="F18" s="3" t="n">
        <v>4</v>
      </c>
      <c r="G18" s="6" t="n">
        <v>1565</v>
      </c>
      <c r="H18" s="7" t="n">
        <v>844.54</v>
      </c>
      <c r="I18" s="18" t="inlineStr">
        <is>
          <t>средняя цена EXW</t>
        </is>
      </c>
      <c r="J18" s="14" t="n">
        <v>18</v>
      </c>
      <c r="K18" s="22" t="inlineStr">
        <is>
          <t>AVIALL, PROPONENT (OEM portal)</t>
        </is>
      </c>
      <c r="L18" s="22" t="inlineStr">
        <is>
          <t>PROPONENT/WENCOR</t>
        </is>
      </c>
      <c r="M18" s="23" t="n">
        <v>970</v>
      </c>
      <c r="N18" s="23" t="n">
        <v>1605</v>
      </c>
      <c r="O18" s="24" t="n">
        <v>65.59999999999999</v>
      </c>
      <c r="P18" s="22" t="n">
        <v>1.85</v>
      </c>
      <c r="Q18" s="32" t="n">
        <v>85.3</v>
      </c>
      <c r="R18" s="22" t="n">
        <v>0</v>
      </c>
      <c r="S18" s="22" t="inlineStr">
        <is>
          <t>—</t>
        </is>
      </c>
      <c r="T18" s="22" t="inlineStr">
        <is>
          <t>—</t>
        </is>
      </c>
      <c r="U18" s="31" t="inlineStr">
        <is>
          <t>P2 · снизить оффер</t>
        </is>
      </c>
      <c r="V18" s="22" t="inlineStr">
        <is>
          <t>повторяющийся спрос (≥3 RFQ); заметная сумма; заказа не было — зона роста; цена с портала</t>
        </is>
      </c>
    </row>
    <row r="19">
      <c r="A19" s="8" t="n">
        <v>18</v>
      </c>
      <c r="B19" s="9" t="inlineStr">
        <is>
          <t>141A6076-1</t>
        </is>
      </c>
      <c r="C19" s="10" t="inlineStr">
        <is>
          <t>PIN</t>
        </is>
      </c>
      <c r="D19" s="8" t="n">
        <v>4</v>
      </c>
      <c r="E19" s="13" t="n">
        <v>21</v>
      </c>
      <c r="F19" s="8" t="n">
        <v>4</v>
      </c>
      <c r="G19" s="11" t="n">
        <v>2035</v>
      </c>
      <c r="H19" s="7">
        <f>AVERAGE(798,651)</f>
        <v/>
      </c>
      <c r="I19" s="18" t="inlineStr">
        <is>
          <t>средняя цена EXW</t>
        </is>
      </c>
      <c r="J19" s="14" t="n">
        <v>1</v>
      </c>
      <c r="K19" s="22" t="inlineStr">
        <is>
          <t>BOS (broker only)</t>
        </is>
      </c>
      <c r="L19" s="22" t="inlineStr">
        <is>
          <t>BOS_ONLY</t>
        </is>
      </c>
      <c r="M19" s="23" t="n">
        <v>1265</v>
      </c>
      <c r="N19" s="23" t="n">
        <v>1930</v>
      </c>
      <c r="O19" s="24" t="n">
        <v>54.3</v>
      </c>
      <c r="P19" s="22" t="n">
        <v>2.81</v>
      </c>
      <c r="Q19" s="27" t="n">
        <v>180.9</v>
      </c>
      <c r="R19" s="22" t="n">
        <v>0</v>
      </c>
      <c r="S19" s="22" t="inlineStr">
        <is>
          <t>—</t>
        </is>
      </c>
      <c r="T19" s="22" t="inlineStr">
        <is>
          <t>—</t>
        </is>
      </c>
      <c r="U19" s="31" t="inlineStr">
        <is>
          <t>P2 · низкий годовой расход</t>
        </is>
      </c>
      <c r="V19" s="22" t="inlineStr">
        <is>
          <t>повторяющийся спрос (≥3 RFQ); заказа не было — зона роста; только BOS — осторожно</t>
        </is>
      </c>
    </row>
    <row r="20">
      <c r="A20" s="3" t="n">
        <v>19</v>
      </c>
      <c r="B20" s="4" t="inlineStr">
        <is>
          <t>65C33095-5</t>
        </is>
      </c>
      <c r="C20" s="5" t="inlineStr">
        <is>
          <t>GASKET</t>
        </is>
      </c>
      <c r="D20" s="3" t="n">
        <v>4</v>
      </c>
      <c r="E20" s="12" t="n">
        <v>105</v>
      </c>
      <c r="F20" s="3" t="n">
        <v>4</v>
      </c>
      <c r="G20" s="6" t="n">
        <v>295</v>
      </c>
      <c r="H20" s="7" t="n">
        <v>183.1</v>
      </c>
      <c r="I20" s="18" t="inlineStr">
        <is>
          <t>средняя цена EXW</t>
        </is>
      </c>
      <c r="J20" s="14" t="n">
        <v>139</v>
      </c>
      <c r="K20" s="22" t="inlineStr">
        <is>
          <t>WENCOR (OEM portal)</t>
        </is>
      </c>
      <c r="L20" s="22" t="inlineStr">
        <is>
          <t>PROPONENT/WENCOR</t>
        </is>
      </c>
      <c r="M20" s="23" t="n">
        <v>173.975</v>
      </c>
      <c r="N20" s="23" t="n">
        <v>295</v>
      </c>
      <c r="O20" s="24" t="n">
        <v>69.7</v>
      </c>
      <c r="P20" s="22" t="n">
        <v>1.61</v>
      </c>
      <c r="Q20" s="32" t="n">
        <v>61.1</v>
      </c>
      <c r="R20" s="22" t="n">
        <v>0</v>
      </c>
      <c r="S20" s="22" t="inlineStr">
        <is>
          <t>—</t>
        </is>
      </c>
      <c r="T20" s="22" t="n">
        <v>40000</v>
      </c>
      <c r="U20" s="31" t="inlineStr">
        <is>
          <t>P2 · регулярный расход 139/год</t>
        </is>
      </c>
      <c r="V20" s="22" t="inlineStr">
        <is>
          <t>повторяющийся спрос (≥3 RFQ); BOS отсечён ≈$40,000; заказа не было — зона роста; цена с портала</t>
        </is>
      </c>
    </row>
    <row r="21">
      <c r="A21" s="8" t="n">
        <v>20</v>
      </c>
      <c r="B21" s="9" t="inlineStr">
        <is>
          <t>65-90305-88</t>
        </is>
      </c>
      <c r="C21" s="10" t="inlineStr">
        <is>
          <t>KIT - CFM56-7 FUEL PUMP FILTER</t>
        </is>
      </c>
      <c r="D21" s="8" t="n">
        <v>4</v>
      </c>
      <c r="E21" s="13" t="n">
        <v>35</v>
      </c>
      <c r="F21" s="8" t="n">
        <v>4</v>
      </c>
      <c r="G21" s="11" t="n">
        <v>420</v>
      </c>
      <c r="H21" s="7">
        <f>AVERAGE(285,370)</f>
        <v/>
      </c>
      <c r="I21" s="18" t="inlineStr">
        <is>
          <t>средняя цена EXW</t>
        </is>
      </c>
      <c r="J21" s="14" t="n">
        <v>18</v>
      </c>
      <c r="K21" s="22" t="inlineStr">
        <is>
          <t>AVIALL, BOS (distributor)</t>
        </is>
      </c>
      <c r="L21" s="22" t="inlineStr">
        <is>
          <t>DISTRIBUTOR</t>
        </is>
      </c>
      <c r="M21" s="23" t="n">
        <v>234</v>
      </c>
      <c r="N21" s="23" t="n">
        <v>390</v>
      </c>
      <c r="O21" s="24" t="n">
        <v>64.59999999999999</v>
      </c>
      <c r="P21" s="22" t="n">
        <v>1.28</v>
      </c>
      <c r="Q21" s="25" t="n">
        <v>28.2</v>
      </c>
      <c r="R21" s="22" t="n">
        <v>0</v>
      </c>
      <c r="S21" s="22" t="inlineStr">
        <is>
          <t>—</t>
        </is>
      </c>
      <c r="T21" s="22" t="inlineStr">
        <is>
          <t>—</t>
        </is>
      </c>
      <c r="U21" s="26" t="inlineStr">
        <is>
          <t>P3 · близко к таргету</t>
        </is>
      </c>
      <c r="V21" s="22" t="inlineStr">
        <is>
          <t>повторяющийся спрос (≥3 RFQ); заказа не было — зона роста</t>
        </is>
      </c>
    </row>
    <row r="22">
      <c r="A22" s="3" t="n">
        <v>21</v>
      </c>
      <c r="B22" s="4" t="inlineStr">
        <is>
          <t>BACC30BL8</t>
        </is>
      </c>
      <c r="C22" s="5" t="inlineStr">
        <is>
          <t>COLLAR</t>
        </is>
      </c>
      <c r="D22" s="3" t="n">
        <v>4</v>
      </c>
      <c r="E22" s="12" t="n">
        <v>690</v>
      </c>
      <c r="F22" s="3" t="n">
        <v>4</v>
      </c>
      <c r="G22" s="6" t="n">
        <v>19.6</v>
      </c>
      <c r="H22" s="7">
        <f>AVERAGE(15,16)</f>
        <v/>
      </c>
      <c r="I22" s="18" t="inlineStr">
        <is>
          <t>средняя цена EXW</t>
        </is>
      </c>
      <c r="J22" s="14" t="n">
        <v>512</v>
      </c>
      <c r="K22" s="22" t="inlineStr">
        <is>
          <t>BOS, MARKET</t>
        </is>
      </c>
      <c r="L22" s="22" t="inlineStr">
        <is>
          <t>OTHER</t>
        </is>
      </c>
      <c r="M22" s="23" t="n">
        <v>8</v>
      </c>
      <c r="N22" s="23" t="n">
        <v>16.7</v>
      </c>
      <c r="O22" s="24" t="n">
        <v>91.90000000000001</v>
      </c>
      <c r="P22" s="22" t="n">
        <v>1.26</v>
      </c>
      <c r="Q22" s="25" t="n">
        <v>26.5</v>
      </c>
      <c r="R22" s="22" t="n">
        <v>0</v>
      </c>
      <c r="S22" s="22" t="inlineStr">
        <is>
          <t>—</t>
        </is>
      </c>
      <c r="T22" s="22" t="inlineStr">
        <is>
          <t>—</t>
        </is>
      </c>
      <c r="U22" s="26" t="inlineStr">
        <is>
          <t>P3 · уже близко к таргету</t>
        </is>
      </c>
      <c r="V22" s="22" t="inlineStr">
        <is>
          <t>повторяющийся спрос (≥3 RFQ); большой объём шт; заказа не было — зона роста; наценка высокая</t>
        </is>
      </c>
    </row>
    <row r="23">
      <c r="A23" s="8" t="n">
        <v>22</v>
      </c>
      <c r="B23" s="9" t="inlineStr">
        <is>
          <t>65-90305-24</t>
        </is>
      </c>
      <c r="C23" s="10" t="inlineStr">
        <is>
          <t>FILTER MAINTENANCE KIT</t>
        </is>
      </c>
      <c r="D23" s="8" t="n">
        <v>4</v>
      </c>
      <c r="E23" s="13" t="n">
        <v>26</v>
      </c>
      <c r="F23" s="8" t="n">
        <v>4</v>
      </c>
      <c r="G23" s="11" t="n">
        <v>462.5</v>
      </c>
      <c r="H23" s="7" t="n">
        <v>284.95</v>
      </c>
      <c r="I23" s="18" t="inlineStr">
        <is>
          <t>средняя цена EXW</t>
        </is>
      </c>
      <c r="J23" s="14" t="n">
        <v>29.8</v>
      </c>
      <c r="K23" s="22" t="inlineStr">
        <is>
          <t>BOS, WENCOR (OEM portal)</t>
        </is>
      </c>
      <c r="L23" s="22" t="inlineStr">
        <is>
          <t>PROPONENT/WENCOR</t>
        </is>
      </c>
      <c r="M23" s="23" t="n">
        <v>329.475</v>
      </c>
      <c r="N23" s="23" t="n">
        <v>545</v>
      </c>
      <c r="O23" s="24" t="n">
        <v>65.59999999999999</v>
      </c>
      <c r="P23" s="22" t="n">
        <v>1.62</v>
      </c>
      <c r="Q23" s="32" t="n">
        <v>62.3</v>
      </c>
      <c r="R23" s="22" t="n">
        <v>0</v>
      </c>
      <c r="S23" s="22" t="inlineStr">
        <is>
          <t>—</t>
        </is>
      </c>
      <c r="T23" s="22" t="inlineStr">
        <is>
          <t>—</t>
        </is>
      </c>
      <c r="U23" s="31" t="inlineStr">
        <is>
          <t>P2 · снизить оффер</t>
        </is>
      </c>
      <c r="V23" s="22" t="inlineStr">
        <is>
          <t>повторяющийся спрос (≥3 RFQ); заказа не было — зона роста; цена с портала</t>
        </is>
      </c>
    </row>
    <row r="24">
      <c r="A24" s="3" t="n">
        <v>23</v>
      </c>
      <c r="B24" s="4" t="inlineStr">
        <is>
          <t>BACN10JR3CFD</t>
        </is>
      </c>
      <c r="C24" s="5" t="inlineStr">
        <is>
          <t>NUTPLATE</t>
        </is>
      </c>
      <c r="D24" s="3" t="n">
        <v>3</v>
      </c>
      <c r="E24" s="12" t="n">
        <v>3122</v>
      </c>
      <c r="F24" s="3" t="n">
        <v>3</v>
      </c>
      <c r="G24" s="6" t="n">
        <v>4.83</v>
      </c>
      <c r="H24" s="7">
        <f>AVERAGE(5,2.61)</f>
        <v/>
      </c>
      <c r="I24" s="18" t="inlineStr">
        <is>
          <t>средняя цена EXW</t>
        </is>
      </c>
      <c r="J24" s="14" t="n">
        <v>4439</v>
      </c>
      <c r="K24" s="22" t="inlineStr">
        <is>
          <t>WENCOR (OEM portal)</t>
        </is>
      </c>
      <c r="L24" s="22" t="inlineStr">
        <is>
          <t>PROPONENT/WENCOR</t>
        </is>
      </c>
      <c r="M24" s="23" t="n">
        <v>2.3</v>
      </c>
      <c r="N24" s="23" t="n">
        <v>4.3</v>
      </c>
      <c r="O24" s="24" t="n">
        <v>87</v>
      </c>
      <c r="P24" s="22" t="n">
        <v>1.27</v>
      </c>
      <c r="Q24" s="25" t="n">
        <v>26.9</v>
      </c>
      <c r="R24" s="22" t="n">
        <v>0</v>
      </c>
      <c r="S24" s="22" t="inlineStr">
        <is>
          <t>—</t>
        </is>
      </c>
      <c r="T24" s="22" t="inlineStr">
        <is>
          <t>—</t>
        </is>
      </c>
      <c r="U24" s="26" t="inlineStr">
        <is>
          <t>P3 · близко; важна стабильная цена</t>
        </is>
      </c>
      <c r="V24" s="22" t="inlineStr">
        <is>
          <t>повторяющийся спрос (≥3 RFQ); большой объём шт; заказа не было — зона роста; наценка высокая; цена с портала</t>
        </is>
      </c>
    </row>
    <row r="25">
      <c r="A25" s="8" t="n">
        <v>24</v>
      </c>
      <c r="B25" s="9" t="inlineStr">
        <is>
          <t>7577741</t>
        </is>
      </c>
      <c r="C25" s="10" t="inlineStr">
        <is>
          <t>FILTER</t>
        </is>
      </c>
      <c r="D25" s="8" t="n">
        <v>4</v>
      </c>
      <c r="E25" s="13" t="n">
        <v>224</v>
      </c>
      <c r="F25" s="8" t="n">
        <v>4</v>
      </c>
      <c r="G25" s="11" t="n">
        <v>48.25</v>
      </c>
      <c r="H25" s="16">
        <f>AVERAGE(28,26.44,45)</f>
        <v/>
      </c>
      <c r="I25" s="18" t="inlineStr">
        <is>
          <t>средняя цена EXW</t>
        </is>
      </c>
      <c r="J25" s="14" t="n">
        <v>136</v>
      </c>
      <c r="K25" s="22" t="inlineStr">
        <is>
          <t>WENCOR (OEM portal)</t>
        </is>
      </c>
      <c r="L25" s="22" t="inlineStr">
        <is>
          <t>PROPONENT/WENCOR</t>
        </is>
      </c>
      <c r="M25" s="23" t="n">
        <v>23.125</v>
      </c>
      <c r="N25" s="23" t="n">
        <v>49</v>
      </c>
      <c r="O25" s="24" t="n">
        <v>104</v>
      </c>
      <c r="P25" s="22" t="n">
        <v>1.46</v>
      </c>
      <c r="Q25" s="32" t="n">
        <v>45.6</v>
      </c>
      <c r="R25" s="22" t="n">
        <v>0</v>
      </c>
      <c r="S25" s="22" t="inlineStr">
        <is>
          <t>—</t>
        </is>
      </c>
      <c r="T25" s="22" t="inlineStr">
        <is>
          <t>—</t>
        </is>
      </c>
      <c r="U25" s="26" t="inlineStr">
        <is>
          <t>P3 · мелкий EA, есть объём</t>
        </is>
      </c>
      <c r="V25" s="22" t="inlineStr">
        <is>
          <t>повторяющийся спрос (≥3 RFQ); заказа не было — зона роста; наценка высокая; цена с портала</t>
        </is>
      </c>
    </row>
    <row r="26">
      <c r="A26" s="3" t="n">
        <v>25</v>
      </c>
      <c r="B26" s="4" t="inlineStr">
        <is>
          <t>649-411-983-0</t>
        </is>
      </c>
      <c r="C26" s="5" t="inlineStr">
        <is>
          <t>CLAMP</t>
        </is>
      </c>
      <c r="D26" s="3" t="n">
        <v>3</v>
      </c>
      <c r="E26" s="12" t="n">
        <v>20</v>
      </c>
      <c r="F26" s="3" t="n">
        <v>3</v>
      </c>
      <c r="G26" s="6" t="n">
        <v>496.67</v>
      </c>
      <c r="H26" s="7" t="n"/>
      <c r="I26" s="18" t="inlineStr">
        <is>
          <t>нет таргета, в НЗ не входит</t>
        </is>
      </c>
      <c r="J26" s="14" t="n">
        <v>0</v>
      </c>
      <c r="K26" s="22" t="inlineStr">
        <is>
          <t>BOS, ENGINE (distributor)</t>
        </is>
      </c>
      <c r="L26" s="22" t="inlineStr">
        <is>
          <t>DISTRIBUTOR</t>
        </is>
      </c>
      <c r="M26" s="23" t="n">
        <v>429</v>
      </c>
      <c r="N26" s="23" t="n">
        <v>640</v>
      </c>
      <c r="O26" s="24" t="n">
        <v>58.5</v>
      </c>
      <c r="P26" s="22" t="n"/>
      <c r="Q26" s="22" t="n"/>
      <c r="R26" s="22" t="n">
        <v>0</v>
      </c>
      <c r="S26" s="22" t="inlineStr">
        <is>
          <t>—</t>
        </is>
      </c>
      <c r="T26" s="22" t="inlineStr">
        <is>
          <t>—</t>
        </is>
      </c>
      <c r="U26" s="22" t="inlineStr">
        <is>
          <t>— · нет таргета клиента</t>
        </is>
      </c>
      <c r="V26" s="22" t="inlineStr">
        <is>
          <t>повторяющийся спрос (≥3 RFQ); уже покупали у нас — репер</t>
        </is>
      </c>
    </row>
  </sheetData>
  <autoFilter ref="A1:I26"/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E18" sqref="E18"/>
    </sheetView>
  </sheetViews>
  <sheetFormatPr baseColWidth="8" defaultRowHeight="15" outlineLevelCol="0"/>
  <cols>
    <col width="110" customWidth="1" min="1" max="1"/>
  </cols>
  <sheetData>
    <row r="1" ht="18.75" customHeight="1">
      <c r="A1" s="1" t="inlineStr">
        <is>
          <t>UTAIR — Часто запрашиваемые расходные компоненты (EXP) — v2</t>
        </is>
      </c>
    </row>
    <row r="3">
      <c r="A3" t="inlineStr">
        <is>
          <t>Пожалуйста, укажите вашу текущую закупочную цену (за единицу, USD) по перечисленным P/N.</t>
        </is>
      </c>
    </row>
    <row r="4">
      <c r="A4" t="inlineStr">
        <is>
          <t>Это позиции, которые чаще всего встречаются в запросах (EXP / expendable).</t>
        </is>
      </c>
    </row>
    <row r="5">
      <c r="A5" t="inlineStr">
        <is>
          <t>Жёлтые колонки — для заполнения.</t>
        </is>
      </c>
    </row>
    <row r="7">
      <c r="A7" t="inlineStr">
        <is>
          <t>Поля:</t>
        </is>
      </c>
    </row>
    <row r="8">
      <c r="A8" t="inlineStr">
        <is>
          <t>P/N — номер детали</t>
        </is>
      </c>
    </row>
    <row r="9">
      <c r="A9" t="inlineStr">
        <is>
          <t>Description — описание</t>
        </is>
      </c>
    </row>
    <row r="10">
      <c r="A10" t="inlineStr">
        <is>
          <t>RFQ count — число отдельных запросов клиента</t>
        </is>
      </c>
    </row>
    <row r="11">
      <c r="A11" t="inlineStr">
        <is>
          <t>Total qty requested — суммарное запрошенное количество</t>
        </is>
      </c>
    </row>
    <row r="12">
      <c r="A12" t="inlineStr">
        <is>
          <t>Our offers count — число отправленных предложений (1 на RFQ; варианты «для сравнения» отдельно не считаются)</t>
        </is>
      </c>
    </row>
    <row r="13">
      <c r="A13" t="inlineStr">
        <is>
          <t>Our average offer price EA (USD) — средняя цена за единицу в отправленных предложениях</t>
        </is>
      </c>
    </row>
    <row r="14">
      <c r="A14" t="inlineStr">
        <is>
          <t>Your purchase price EA (USD) — ваша закупочная цена за единицу</t>
        </is>
      </c>
    </row>
    <row r="15">
      <c r="A15" t="inlineStr">
        <is>
          <t>Comments — при необходимости (MOQ, состояние, срок действия цены)</t>
        </is>
      </c>
    </row>
    <row r="17">
      <c r="A17" t="inlineStr">
        <is>
          <t>Спасибо!</t>
        </is>
      </c>
    </row>
    <row r="18">
      <c r="A18" t="inlineStr"/>
    </row>
    <row r="19">
      <c r="A19" t="inlineStr">
        <is>
          <t>Колонки K–V (синие заголовки) — как мы квотируем (внутренний блок):</t>
        </is>
      </c>
    </row>
    <row r="20">
      <c r="A20" t="inlineStr">
        <is>
          <t>K — Источник / Supplier (как столбец K в таблице Expendables)</t>
        </is>
      </c>
    </row>
    <row r="21">
      <c r="A21" t="inlineStr">
        <is>
          <t>L — Тип источника (OEM portal / broker / distributor)</t>
        </is>
      </c>
    </row>
    <row r="22">
      <c r="A22" t="inlineStr">
        <is>
          <t>M — Наша закупочная EA median (USD)</t>
        </is>
      </c>
    </row>
    <row r="23">
      <c r="A23" t="inlineStr">
        <is>
          <t>N — Наш DDP MOW EA median (USD) — цена предложения</t>
        </is>
      </c>
    </row>
    <row r="24">
      <c r="A24" t="inlineStr">
        <is>
          <t>O — Наценка % median = (DDP − Закупка) / Закупка</t>
        </is>
      </c>
    </row>
    <row r="25">
      <c r="A25" t="inlineStr">
        <is>
          <t>P — Наш оффер (G) ÷ таргет клиента (H)</t>
        </is>
      </c>
    </row>
    <row r="26">
      <c r="A26" t="inlineStr">
        <is>
          <t>Q — Разрыв % к таргету (красный ≥100%, оранжевый ≥40%)</t>
        </is>
      </c>
    </row>
    <row r="27">
      <c r="A27" t="inlineStr">
        <is>
          <t>R–S — Остаток на складе FASTAIR на 27.07.2026</t>
        </is>
      </c>
    </row>
    <row r="28">
      <c r="A28" t="inlineStr">
        <is>
          <t>T — BOS-квота, отброшенная при наличии portal-цены</t>
        </is>
      </c>
    </row>
    <row r="29">
      <c r="A29" t="inlineStr">
        <is>
          <t>U — Приоритет действия (P0 — в первую очередь)</t>
        </is>
      </c>
    </row>
    <row r="30">
      <c r="A30" t="inlineStr">
        <is>
          <t>V — Внутренняя заметка по анализу RFQ</t>
        </is>
      </c>
    </row>
    <row r="31">
      <c r="A31" t="inlineStr">
        <is>
          <t>Важно: таргеты клиента чаще EXW; наши цены — DDP.</t>
        </is>
      </c>
    </row>
    <row r="32">
      <c r="A32" t="inlineStr">
        <is>
          <t>Обновлено: 27.07.2026 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2026-07-15T14:39:40Z</dcterms:created>
  <dcterms:modified xsi:type="dcterms:W3CDTF">2026-07-27T16:24:32Z</dcterms:modified>
  <cp:lastModifiedBy>Ситникова Елизавета Сергеевна</cp:lastModifiedBy>
</cp:coreProperties>
</file>