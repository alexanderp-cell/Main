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ily" sheetId="2" state="visible" r:id="rId2"/>
    <sheet name="Conversion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1F4E79"/>
      <sz val="12"/>
    </font>
    <font>
      <b val="1"/>
      <color rgb="00FFFFFF"/>
      <sz val="11"/>
    </font>
    <font>
      <b val="1"/>
      <sz val="12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Запросы и предложения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'Summary'!B25</f>
            </strRef>
          </tx>
          <spPr>
            <a:ln>
              <a:prstDash val="solid"/>
            </a:ln>
          </spPr>
          <cat>
            <numRef>
              <f>'Summary'!$A$26:$A$30</f>
            </numRef>
          </cat>
          <val>
            <numRef>
              <f>'Summary'!$B$26:$B$30</f>
            </numRef>
          </val>
        </ser>
        <ser>
          <idx val="1"/>
          <order val="1"/>
          <tx>
            <strRef>
              <f>'Summary'!C25</f>
            </strRef>
          </tx>
          <spPr>
            <a:ln>
              <a:prstDash val="solid"/>
            </a:ln>
          </spPr>
          <cat>
            <numRef>
              <f>'Summary'!$A$26:$A$30</f>
            </numRef>
          </cat>
          <val>
            <numRef>
              <f>'Summary'!$C$26:$C$30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Кол-во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Запросы и предложения по дням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'Daily'!$A$2:$A$132</f>
            </numRef>
          </cat>
          <val>
            <numRef>
              <f>'Daily'!$C$2:$C$132</f>
            </numRef>
          </val>
        </ser>
        <ser>
          <idx val="1"/>
          <order val="1"/>
          <tx>
            <strRef>
              <f>'Daily'!D1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'Daily'!$A$2:$A$132</f>
            </numRef>
          </cat>
          <val>
            <numRef>
              <f>'Daily'!$D$2:$D$132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 outlineLevelCol="0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UTAIR EXP → Offer → Order funnel</t>
        </is>
      </c>
    </row>
    <row r="2">
      <c r="A2" t="inlineStr">
        <is>
          <t>Период EXP: 02.03.2026 — 14.07.2026</t>
        </is>
      </c>
    </row>
    <row r="3">
      <c r="A3" t="inlineStr">
        <is>
          <t>Запрос = уник. ExpR · Предложение = ExpR с ценой · Заказ = ТАЗ Invoicer=М, EXPENDABLE, active</t>
        </is>
      </c>
    </row>
    <row r="5">
      <c r="A5" s="2" t="inlineStr">
        <is>
          <t>Воронка</t>
        </is>
      </c>
    </row>
    <row r="6">
      <c r="A6" s="3" t="inlineStr">
        <is>
          <t>Этап</t>
        </is>
      </c>
      <c r="B6" s="3" t="inlineStr">
        <is>
          <t>Кол-во</t>
        </is>
      </c>
      <c r="C6" s="3" t="inlineStr">
        <is>
          <t>Конверсия</t>
        </is>
      </c>
    </row>
    <row r="7">
      <c r="A7" s="4" t="inlineStr">
        <is>
          <t>1. Запросы (ExpR в EXP)</t>
        </is>
      </c>
      <c r="B7" s="5" t="n">
        <v>6455</v>
      </c>
      <c r="C7" s="4" t="inlineStr">
        <is>
          <t>100%</t>
        </is>
      </c>
    </row>
    <row r="8">
      <c r="A8" s="4" t="inlineStr">
        <is>
          <t>2. Предложения (ExpR с ценой)</t>
        </is>
      </c>
      <c r="B8" s="5" t="n">
        <v>2963</v>
      </c>
      <c r="C8" s="4" t="inlineStr">
        <is>
          <t>45.9% от запросов</t>
        </is>
      </c>
    </row>
    <row r="9">
      <c r="A9" s="4" t="inlineStr">
        <is>
          <t>3. Заказы (предложение → заказ по P/N)</t>
        </is>
      </c>
      <c r="B9" s="5" t="n">
        <v>121</v>
      </c>
      <c r="C9" s="4" t="inlineStr">
        <is>
          <t>4.08% от предложений</t>
        </is>
      </c>
    </row>
    <row r="11">
      <c r="A11" s="2" t="inlineStr">
        <is>
          <t>Средние в день</t>
        </is>
      </c>
    </row>
    <row r="12">
      <c r="A12" s="3" t="inlineStr">
        <is>
          <t>Метрика</t>
        </is>
      </c>
      <c r="B12" s="3" t="inlineStr">
        <is>
          <t>Значение</t>
        </is>
      </c>
      <c r="C12" s="3" t="n"/>
    </row>
    <row r="13">
      <c r="A13" s="4" t="inlineStr">
        <is>
          <t>Запросов / активный день</t>
        </is>
      </c>
      <c r="B13" s="6" t="n">
        <v>49.3</v>
      </c>
    </row>
    <row r="14">
      <c r="A14" s="4" t="inlineStr">
        <is>
          <t>Предложений / активный день</t>
        </is>
      </c>
      <c r="B14" s="6" t="n">
        <v>22.6</v>
      </c>
    </row>
    <row r="15">
      <c r="A15" s="4" t="inlineStr">
        <is>
          <t>Запросов / будний день (пн–пт, с нулями)</t>
        </is>
      </c>
      <c r="B15" s="6" t="n">
        <v>63.6</v>
      </c>
    </row>
    <row r="16">
      <c r="A16" s="4" t="inlineStr">
        <is>
          <t>Предложений / будний день (пн–пт, с нулями)</t>
        </is>
      </c>
      <c r="B16" s="6" t="n">
        <v>29.1</v>
      </c>
    </row>
    <row r="17">
      <c r="A17" s="4" t="inlineStr">
        <is>
          <t>Медиана запросов / активный день</t>
        </is>
      </c>
      <c r="B17" s="6" t="n">
        <v>43</v>
      </c>
    </row>
    <row r="18">
      <c r="A18" s="4" t="inlineStr">
        <is>
          <t>Медиана предложений / активный день</t>
        </is>
      </c>
      <c r="B18" s="6" t="n">
        <v>21</v>
      </c>
    </row>
    <row r="19">
      <c r="A19" s="4" t="inlineStr">
        <is>
          <t>Конверсия запрос→предложение (всего)</t>
        </is>
      </c>
      <c r="B19" s="6" t="inlineStr">
        <is>
          <t>45.9%</t>
        </is>
      </c>
    </row>
    <row r="20">
      <c r="A20" s="4" t="inlineStr">
        <is>
          <t>Конверсия предложение→заказ (всего)</t>
        </is>
      </c>
      <c r="B20" s="6" t="inlineStr">
        <is>
          <t>4.08%</t>
        </is>
      </c>
    </row>
    <row r="21">
      <c r="A21" s="4" t="inlineStr">
        <is>
          <t>Заказов EXPENDABLE 2026 с prior offer</t>
        </is>
      </c>
      <c r="B21" s="6" t="inlineStr">
        <is>
          <t>83/169 (49.1%)</t>
        </is>
      </c>
    </row>
    <row r="24">
      <c r="A24" s="2" t="inlineStr">
        <is>
          <t>По месяцам</t>
        </is>
      </c>
    </row>
    <row r="25">
      <c r="A25" s="7" t="inlineStr">
        <is>
          <t>Месяц</t>
        </is>
      </c>
      <c r="B25" s="7" t="inlineStr">
        <is>
          <t>Запросы</t>
        </is>
      </c>
      <c r="C25" s="7" t="inlineStr">
        <is>
          <t>Предложения</t>
        </is>
      </c>
      <c r="D25" s="7" t="inlineStr">
        <is>
          <t>Запрос→Предл. %</t>
        </is>
      </c>
      <c r="E25" s="7" t="inlineStr">
        <is>
          <t>Предл./акт.день</t>
        </is>
      </c>
      <c r="F25" s="7" t="inlineStr">
        <is>
          <t>Запрос./акт.день</t>
        </is>
      </c>
      <c r="G25" s="7" t="inlineStr">
        <is>
          <t>Предл→Заказ</t>
        </is>
      </c>
      <c r="H25" s="7" t="inlineStr">
        <is>
          <t>Предл→Заказ %</t>
        </is>
      </c>
    </row>
    <row r="26">
      <c r="A26" s="8" t="inlineStr">
        <is>
          <t>2026-03</t>
        </is>
      </c>
      <c r="B26" s="8" t="n">
        <v>1842</v>
      </c>
      <c r="C26" s="8" t="n">
        <v>891</v>
      </c>
      <c r="D26" s="9" t="n">
        <v>48.4</v>
      </c>
      <c r="E26" s="8" t="n">
        <v>30.7</v>
      </c>
      <c r="F26" s="8" t="n">
        <v>63.5</v>
      </c>
      <c r="G26" s="8" t="n">
        <v>43</v>
      </c>
      <c r="H26" s="8" t="n">
        <v>4.83</v>
      </c>
    </row>
    <row r="27">
      <c r="A27" s="8" t="inlineStr">
        <is>
          <t>2026-04</t>
        </is>
      </c>
      <c r="B27" s="8" t="n">
        <v>1746</v>
      </c>
      <c r="C27" s="8" t="n">
        <v>681</v>
      </c>
      <c r="D27" s="9" t="n">
        <v>39</v>
      </c>
      <c r="E27" s="8" t="n">
        <v>22.7</v>
      </c>
      <c r="F27" s="8" t="n">
        <v>58.2</v>
      </c>
      <c r="G27" s="8" t="n">
        <v>23</v>
      </c>
      <c r="H27" s="8" t="n">
        <v>3.38</v>
      </c>
    </row>
    <row r="28">
      <c r="A28" s="8" t="inlineStr">
        <is>
          <t>2026-05</t>
        </is>
      </c>
      <c r="B28" s="8" t="n">
        <v>1118</v>
      </c>
      <c r="C28" s="8" t="n">
        <v>555</v>
      </c>
      <c r="D28" s="9" t="n">
        <v>49.6</v>
      </c>
      <c r="E28" s="8" t="n">
        <v>17.9</v>
      </c>
      <c r="F28" s="8" t="n">
        <v>36.1</v>
      </c>
      <c r="G28" s="8" t="n">
        <v>24</v>
      </c>
      <c r="H28" s="8" t="n">
        <v>4.32</v>
      </c>
    </row>
    <row r="29">
      <c r="A29" s="8" t="inlineStr">
        <is>
          <t>2026-06</t>
        </is>
      </c>
      <c r="B29" s="8" t="n">
        <v>1186</v>
      </c>
      <c r="C29" s="8" t="n">
        <v>562</v>
      </c>
      <c r="D29" s="9" t="n">
        <v>47.4</v>
      </c>
      <c r="E29" s="8" t="n">
        <v>20.1</v>
      </c>
      <c r="F29" s="8" t="n">
        <v>42.4</v>
      </c>
      <c r="G29" s="8" t="n">
        <v>25</v>
      </c>
      <c r="H29" s="8" t="n">
        <v>4.45</v>
      </c>
    </row>
    <row r="30">
      <c r="A30" s="8" t="inlineStr">
        <is>
          <t>2026-07</t>
        </is>
      </c>
      <c r="B30" s="8" t="n">
        <v>563</v>
      </c>
      <c r="C30" s="8" t="n">
        <v>274</v>
      </c>
      <c r="D30" s="9" t="n">
        <v>48.7</v>
      </c>
      <c r="E30" s="8" t="n">
        <v>21.1</v>
      </c>
      <c r="F30" s="8" t="n">
        <v>43.3</v>
      </c>
      <c r="G30" s="8" t="n">
        <v>6</v>
      </c>
      <c r="H30" s="8" t="n">
        <v>2.19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8" customWidth="1" min="2" max="2"/>
    <col width="12" customWidth="1" min="3" max="3"/>
    <col width="14" customWidth="1" min="4" max="4"/>
    <col width="16" customWidth="1" min="5" max="5"/>
  </cols>
  <sheetData>
    <row r="1">
      <c r="A1" s="3" t="inlineStr">
        <is>
          <t>Дата</t>
        </is>
      </c>
      <c r="B1" s="3" t="inlineStr">
        <is>
          <t>День</t>
        </is>
      </c>
      <c r="C1" s="3" t="inlineStr">
        <is>
          <t>Запросы</t>
        </is>
      </c>
      <c r="D1" s="3" t="inlineStr">
        <is>
          <t>Предложения</t>
        </is>
      </c>
      <c r="E1" s="3" t="inlineStr">
        <is>
          <t>Запрос→Предл. %</t>
        </is>
      </c>
    </row>
    <row r="2">
      <c r="A2" s="10" t="n">
        <v>46083</v>
      </c>
      <c r="B2" s="4" t="inlineStr">
        <is>
          <t>пн</t>
        </is>
      </c>
      <c r="C2" s="4" t="n">
        <v>4</v>
      </c>
      <c r="D2" s="4" t="n">
        <v>1</v>
      </c>
      <c r="E2" s="4" t="n">
        <v>25</v>
      </c>
    </row>
    <row r="3">
      <c r="A3" s="10" t="n">
        <v>46084</v>
      </c>
      <c r="B3" s="4" t="inlineStr">
        <is>
          <t>вт</t>
        </is>
      </c>
      <c r="C3" s="4" t="n">
        <v>96</v>
      </c>
      <c r="D3" s="4" t="n">
        <v>37</v>
      </c>
      <c r="E3" s="4" t="n">
        <v>38.5</v>
      </c>
    </row>
    <row r="4">
      <c r="A4" s="10" t="n">
        <v>46085</v>
      </c>
      <c r="B4" s="4" t="inlineStr">
        <is>
          <t>ср</t>
        </is>
      </c>
      <c r="C4" s="4" t="n">
        <v>127</v>
      </c>
      <c r="D4" s="4" t="n">
        <v>75</v>
      </c>
      <c r="E4" s="4" t="n">
        <v>59.1</v>
      </c>
    </row>
    <row r="5">
      <c r="A5" s="10" t="n">
        <v>46086</v>
      </c>
      <c r="B5" s="4" t="inlineStr">
        <is>
          <t>чт</t>
        </is>
      </c>
      <c r="C5" s="4" t="n">
        <v>71</v>
      </c>
      <c r="D5" s="4" t="n">
        <v>31</v>
      </c>
      <c r="E5" s="4" t="n">
        <v>43.7</v>
      </c>
    </row>
    <row r="6">
      <c r="A6" s="10" t="n">
        <v>46087</v>
      </c>
      <c r="B6" s="4" t="inlineStr">
        <is>
          <t>пт</t>
        </is>
      </c>
      <c r="C6" s="4" t="n">
        <v>35</v>
      </c>
      <c r="D6" s="4" t="n">
        <v>20</v>
      </c>
      <c r="E6" s="4" t="n">
        <v>57.1</v>
      </c>
    </row>
    <row r="7">
      <c r="A7" s="10" t="n">
        <v>46088</v>
      </c>
      <c r="B7" s="4" t="inlineStr">
        <is>
          <t>сб</t>
        </is>
      </c>
      <c r="C7" s="4" t="n">
        <v>4</v>
      </c>
      <c r="D7" s="4" t="n">
        <v>3</v>
      </c>
      <c r="E7" s="4" t="n">
        <v>75</v>
      </c>
    </row>
    <row r="8">
      <c r="A8" s="10" t="n">
        <v>46090</v>
      </c>
      <c r="B8" s="4" t="inlineStr">
        <is>
          <t>пн</t>
        </is>
      </c>
      <c r="C8" s="4" t="n">
        <v>43</v>
      </c>
      <c r="D8" s="4" t="n">
        <v>24</v>
      </c>
      <c r="E8" s="4" t="n">
        <v>55.8</v>
      </c>
    </row>
    <row r="9">
      <c r="A9" s="10" t="n">
        <v>46091</v>
      </c>
      <c r="B9" s="4" t="inlineStr">
        <is>
          <t>вт</t>
        </is>
      </c>
      <c r="C9" s="4" t="n">
        <v>86</v>
      </c>
      <c r="D9" s="4" t="n">
        <v>50</v>
      </c>
      <c r="E9" s="4" t="n">
        <v>58.1</v>
      </c>
    </row>
    <row r="10">
      <c r="A10" s="10" t="n">
        <v>46092</v>
      </c>
      <c r="B10" s="4" t="inlineStr">
        <is>
          <t>ср</t>
        </is>
      </c>
      <c r="C10" s="4" t="n">
        <v>70</v>
      </c>
      <c r="D10" s="4" t="n">
        <v>29</v>
      </c>
      <c r="E10" s="4" t="n">
        <v>41.4</v>
      </c>
    </row>
    <row r="11">
      <c r="A11" s="10" t="n">
        <v>46093</v>
      </c>
      <c r="B11" s="4" t="inlineStr">
        <is>
          <t>чт</t>
        </is>
      </c>
      <c r="C11" s="4" t="n">
        <v>103</v>
      </c>
      <c r="D11" s="4" t="n">
        <v>32</v>
      </c>
      <c r="E11" s="4" t="n">
        <v>31.1</v>
      </c>
    </row>
    <row r="12">
      <c r="A12" s="10" t="n">
        <v>46094</v>
      </c>
      <c r="B12" s="4" t="inlineStr">
        <is>
          <t>пт</t>
        </is>
      </c>
      <c r="C12" s="4" t="n">
        <v>116</v>
      </c>
      <c r="D12" s="4" t="n">
        <v>54</v>
      </c>
      <c r="E12" s="4" t="n">
        <v>46.6</v>
      </c>
    </row>
    <row r="13">
      <c r="A13" s="10" t="n">
        <v>46095</v>
      </c>
      <c r="B13" s="4" t="inlineStr">
        <is>
          <t>сб</t>
        </is>
      </c>
      <c r="C13" s="4" t="n">
        <v>36</v>
      </c>
      <c r="D13" s="4" t="n">
        <v>22</v>
      </c>
      <c r="E13" s="4" t="n">
        <v>61.1</v>
      </c>
    </row>
    <row r="14">
      <c r="A14" s="10" t="n">
        <v>46096</v>
      </c>
      <c r="B14" s="4" t="inlineStr">
        <is>
          <t>вс</t>
        </is>
      </c>
      <c r="C14" s="4" t="n">
        <v>4</v>
      </c>
      <c r="D14" s="4" t="n">
        <v>1</v>
      </c>
      <c r="E14" s="4" t="n">
        <v>25</v>
      </c>
    </row>
    <row r="15">
      <c r="A15" s="10" t="n">
        <v>46097</v>
      </c>
      <c r="B15" s="4" t="inlineStr">
        <is>
          <t>пн</t>
        </is>
      </c>
      <c r="C15" s="4" t="n">
        <v>78</v>
      </c>
      <c r="D15" s="4" t="n">
        <v>31</v>
      </c>
      <c r="E15" s="4" t="n">
        <v>39.7</v>
      </c>
    </row>
    <row r="16">
      <c r="A16" s="10" t="n">
        <v>46098</v>
      </c>
      <c r="B16" s="4" t="inlineStr">
        <is>
          <t>вт</t>
        </is>
      </c>
      <c r="C16" s="4" t="n">
        <v>44</v>
      </c>
      <c r="D16" s="4" t="n">
        <v>32</v>
      </c>
      <c r="E16" s="4" t="n">
        <v>72.7</v>
      </c>
    </row>
    <row r="17">
      <c r="A17" s="10" t="n">
        <v>46099</v>
      </c>
      <c r="B17" s="4" t="inlineStr">
        <is>
          <t>ср</t>
        </is>
      </c>
      <c r="C17" s="4" t="n">
        <v>60</v>
      </c>
      <c r="D17" s="4" t="n">
        <v>36</v>
      </c>
      <c r="E17" s="4" t="n">
        <v>60</v>
      </c>
    </row>
    <row r="18">
      <c r="A18" s="10" t="n">
        <v>46100</v>
      </c>
      <c r="B18" s="4" t="inlineStr">
        <is>
          <t>чт</t>
        </is>
      </c>
      <c r="C18" s="4" t="n">
        <v>184</v>
      </c>
      <c r="D18" s="4" t="n">
        <v>106</v>
      </c>
      <c r="E18" s="4" t="n">
        <v>57.6</v>
      </c>
    </row>
    <row r="19">
      <c r="A19" s="10" t="n">
        <v>46101</v>
      </c>
      <c r="B19" s="4" t="inlineStr">
        <is>
          <t>пт</t>
        </is>
      </c>
      <c r="C19" s="4" t="n">
        <v>95</v>
      </c>
      <c r="D19" s="4" t="n">
        <v>28</v>
      </c>
      <c r="E19" s="4" t="n">
        <v>29.5</v>
      </c>
    </row>
    <row r="20">
      <c r="A20" s="10" t="n">
        <v>46102</v>
      </c>
      <c r="B20" s="4" t="inlineStr">
        <is>
          <t>сб</t>
        </is>
      </c>
      <c r="C20" s="4" t="n">
        <v>14</v>
      </c>
      <c r="D20" s="4" t="n">
        <v>7</v>
      </c>
      <c r="E20" s="4" t="n">
        <v>50</v>
      </c>
    </row>
    <row r="21">
      <c r="A21" s="10" t="n">
        <v>46103</v>
      </c>
      <c r="B21" s="4" t="inlineStr">
        <is>
          <t>вс</t>
        </is>
      </c>
      <c r="C21" s="4" t="n">
        <v>18</v>
      </c>
      <c r="D21" s="4" t="n">
        <v>14</v>
      </c>
      <c r="E21" s="4" t="n">
        <v>77.8</v>
      </c>
    </row>
    <row r="22">
      <c r="A22" s="10" t="n">
        <v>46104</v>
      </c>
      <c r="B22" s="4" t="inlineStr">
        <is>
          <t>пн</t>
        </is>
      </c>
      <c r="C22" s="4" t="n">
        <v>47</v>
      </c>
      <c r="D22" s="4" t="n">
        <v>24</v>
      </c>
      <c r="E22" s="4" t="n">
        <v>51.1</v>
      </c>
    </row>
    <row r="23">
      <c r="A23" s="10" t="n">
        <v>46105</v>
      </c>
      <c r="B23" s="4" t="inlineStr">
        <is>
          <t>вт</t>
        </is>
      </c>
      <c r="C23" s="4" t="n">
        <v>129</v>
      </c>
      <c r="D23" s="4" t="n">
        <v>65</v>
      </c>
      <c r="E23" s="4" t="n">
        <v>50.4</v>
      </c>
    </row>
    <row r="24">
      <c r="A24" s="10" t="n">
        <v>46106</v>
      </c>
      <c r="B24" s="4" t="inlineStr">
        <is>
          <t>ср</t>
        </is>
      </c>
      <c r="C24" s="4" t="n">
        <v>91</v>
      </c>
      <c r="D24" s="4" t="n">
        <v>37</v>
      </c>
      <c r="E24" s="4" t="n">
        <v>40.7</v>
      </c>
    </row>
    <row r="25">
      <c r="A25" s="10" t="n">
        <v>46107</v>
      </c>
      <c r="B25" s="4" t="inlineStr">
        <is>
          <t>чт</t>
        </is>
      </c>
      <c r="C25" s="4" t="n">
        <v>87</v>
      </c>
      <c r="D25" s="4" t="n">
        <v>58</v>
      </c>
      <c r="E25" s="4" t="n">
        <v>66.7</v>
      </c>
    </row>
    <row r="26">
      <c r="A26" s="10" t="n">
        <v>46108</v>
      </c>
      <c r="B26" s="4" t="inlineStr">
        <is>
          <t>пт</t>
        </is>
      </c>
      <c r="C26" s="4" t="n">
        <v>40</v>
      </c>
      <c r="D26" s="4" t="n">
        <v>15</v>
      </c>
      <c r="E26" s="4" t="n">
        <v>37.5</v>
      </c>
    </row>
    <row r="27">
      <c r="A27" s="10" t="n">
        <v>46109</v>
      </c>
      <c r="B27" s="4" t="inlineStr">
        <is>
          <t>сб</t>
        </is>
      </c>
      <c r="C27" s="4" t="n">
        <v>1</v>
      </c>
      <c r="D27" s="4" t="n">
        <v>1</v>
      </c>
      <c r="E27" s="4" t="n">
        <v>100</v>
      </c>
    </row>
    <row r="28">
      <c r="A28" s="10" t="n">
        <v>46110</v>
      </c>
      <c r="B28" s="4" t="inlineStr">
        <is>
          <t>вс</t>
        </is>
      </c>
      <c r="C28" s="4" t="n">
        <v>25</v>
      </c>
      <c r="D28" s="4" t="n">
        <v>13</v>
      </c>
      <c r="E28" s="4" t="n">
        <v>52</v>
      </c>
    </row>
    <row r="29">
      <c r="A29" s="10" t="n">
        <v>46111</v>
      </c>
      <c r="B29" s="4" t="inlineStr">
        <is>
          <t>пн</t>
        </is>
      </c>
      <c r="C29" s="4" t="n">
        <v>44</v>
      </c>
      <c r="D29" s="4" t="n">
        <v>24</v>
      </c>
      <c r="E29" s="4" t="n">
        <v>54.5</v>
      </c>
    </row>
    <row r="30">
      <c r="A30" s="10" t="n">
        <v>46112</v>
      </c>
      <c r="B30" s="4" t="inlineStr">
        <is>
          <t>вт</t>
        </is>
      </c>
      <c r="C30" s="4" t="n">
        <v>90</v>
      </c>
      <c r="D30" s="4" t="n">
        <v>21</v>
      </c>
      <c r="E30" s="4" t="n">
        <v>23.3</v>
      </c>
    </row>
    <row r="31">
      <c r="A31" s="10" t="n">
        <v>46113</v>
      </c>
      <c r="B31" s="4" t="inlineStr">
        <is>
          <t>ср</t>
        </is>
      </c>
      <c r="C31" s="4" t="n">
        <v>55</v>
      </c>
      <c r="D31" s="4" t="n">
        <v>27</v>
      </c>
      <c r="E31" s="4" t="n">
        <v>49.1</v>
      </c>
    </row>
    <row r="32">
      <c r="A32" s="10" t="n">
        <v>46114</v>
      </c>
      <c r="B32" s="4" t="inlineStr">
        <is>
          <t>чт</t>
        </is>
      </c>
      <c r="C32" s="4" t="n">
        <v>61</v>
      </c>
      <c r="D32" s="4" t="n">
        <v>26</v>
      </c>
      <c r="E32" s="4" t="n">
        <v>42.6</v>
      </c>
    </row>
    <row r="33">
      <c r="A33" s="10" t="n">
        <v>46115</v>
      </c>
      <c r="B33" s="4" t="inlineStr">
        <is>
          <t>пт</t>
        </is>
      </c>
      <c r="C33" s="4" t="n">
        <v>261</v>
      </c>
      <c r="D33" s="4" t="n">
        <v>13</v>
      </c>
      <c r="E33" s="4" t="n">
        <v>5</v>
      </c>
    </row>
    <row r="34">
      <c r="A34" s="10" t="n">
        <v>46116</v>
      </c>
      <c r="B34" s="4" t="inlineStr">
        <is>
          <t>сб</t>
        </is>
      </c>
      <c r="C34" s="4" t="n">
        <v>5</v>
      </c>
      <c r="D34" s="4" t="n">
        <v>1</v>
      </c>
      <c r="E34" s="4" t="n">
        <v>20</v>
      </c>
    </row>
    <row r="35">
      <c r="A35" s="10" t="n">
        <v>46117</v>
      </c>
      <c r="B35" s="4" t="inlineStr">
        <is>
          <t>вс</t>
        </is>
      </c>
      <c r="C35" s="4" t="n">
        <v>1</v>
      </c>
      <c r="D35" s="4" t="n">
        <v>1</v>
      </c>
      <c r="E35" s="4" t="n">
        <v>100</v>
      </c>
    </row>
    <row r="36">
      <c r="A36" s="10" t="n">
        <v>46118</v>
      </c>
      <c r="B36" s="4" t="inlineStr">
        <is>
          <t>пн</t>
        </is>
      </c>
      <c r="C36" s="4" t="n">
        <v>115</v>
      </c>
      <c r="D36" s="4" t="n">
        <v>55</v>
      </c>
      <c r="E36" s="4" t="n">
        <v>47.8</v>
      </c>
    </row>
    <row r="37">
      <c r="A37" s="10" t="n">
        <v>46119</v>
      </c>
      <c r="B37" s="4" t="inlineStr">
        <is>
          <t>вт</t>
        </is>
      </c>
      <c r="C37" s="4" t="n">
        <v>37</v>
      </c>
      <c r="D37" s="4" t="n">
        <v>25</v>
      </c>
      <c r="E37" s="4" t="n">
        <v>67.59999999999999</v>
      </c>
    </row>
    <row r="38">
      <c r="A38" s="10" t="n">
        <v>46120</v>
      </c>
      <c r="B38" s="4" t="inlineStr">
        <is>
          <t>ср</t>
        </is>
      </c>
      <c r="C38" s="4" t="n">
        <v>59</v>
      </c>
      <c r="D38" s="4" t="n">
        <v>25</v>
      </c>
      <c r="E38" s="4" t="n">
        <v>42.4</v>
      </c>
    </row>
    <row r="39">
      <c r="A39" s="10" t="n">
        <v>46121</v>
      </c>
      <c r="B39" s="4" t="inlineStr">
        <is>
          <t>чт</t>
        </is>
      </c>
      <c r="C39" s="4" t="n">
        <v>149</v>
      </c>
      <c r="D39" s="4" t="n">
        <v>57</v>
      </c>
      <c r="E39" s="4" t="n">
        <v>38.3</v>
      </c>
    </row>
    <row r="40">
      <c r="A40" s="10" t="n">
        <v>46122</v>
      </c>
      <c r="B40" s="4" t="inlineStr">
        <is>
          <t>пт</t>
        </is>
      </c>
      <c r="C40" s="4" t="n">
        <v>32</v>
      </c>
      <c r="D40" s="4" t="n">
        <v>13</v>
      </c>
      <c r="E40" s="4" t="n">
        <v>40.6</v>
      </c>
    </row>
    <row r="41">
      <c r="A41" s="10" t="n">
        <v>46123</v>
      </c>
      <c r="B41" s="4" t="inlineStr">
        <is>
          <t>сб</t>
        </is>
      </c>
      <c r="C41" s="4" t="n">
        <v>9</v>
      </c>
      <c r="D41" s="4" t="n">
        <v>2</v>
      </c>
      <c r="E41" s="4" t="n">
        <v>22.2</v>
      </c>
    </row>
    <row r="42">
      <c r="A42" s="10" t="n">
        <v>46124</v>
      </c>
      <c r="B42" s="4" t="inlineStr">
        <is>
          <t>вс</t>
        </is>
      </c>
      <c r="C42" s="4" t="n">
        <v>7</v>
      </c>
      <c r="D42" s="4" t="n">
        <v>2</v>
      </c>
      <c r="E42" s="4" t="n">
        <v>28.6</v>
      </c>
    </row>
    <row r="43">
      <c r="A43" s="10" t="n">
        <v>46125</v>
      </c>
      <c r="B43" s="4" t="inlineStr">
        <is>
          <t>пн</t>
        </is>
      </c>
      <c r="C43" s="4" t="n">
        <v>154</v>
      </c>
      <c r="D43" s="4" t="n">
        <v>40</v>
      </c>
      <c r="E43" s="4" t="n">
        <v>26</v>
      </c>
    </row>
    <row r="44">
      <c r="A44" s="10" t="n">
        <v>46126</v>
      </c>
      <c r="B44" s="4" t="inlineStr">
        <is>
          <t>вт</t>
        </is>
      </c>
      <c r="C44" s="4" t="n">
        <v>60</v>
      </c>
      <c r="D44" s="4" t="n">
        <v>30</v>
      </c>
      <c r="E44" s="4" t="n">
        <v>50</v>
      </c>
    </row>
    <row r="45">
      <c r="A45" s="10" t="n">
        <v>46127</v>
      </c>
      <c r="B45" s="4" t="inlineStr">
        <is>
          <t>ср</t>
        </is>
      </c>
      <c r="C45" s="4" t="n">
        <v>50</v>
      </c>
      <c r="D45" s="4" t="n">
        <v>23</v>
      </c>
      <c r="E45" s="4" t="n">
        <v>46</v>
      </c>
    </row>
    <row r="46">
      <c r="A46" s="10" t="n">
        <v>46128</v>
      </c>
      <c r="B46" s="4" t="inlineStr">
        <is>
          <t>чт</t>
        </is>
      </c>
      <c r="C46" s="4" t="n">
        <v>93</v>
      </c>
      <c r="D46" s="4" t="n">
        <v>47</v>
      </c>
      <c r="E46" s="4" t="n">
        <v>50.5</v>
      </c>
    </row>
    <row r="47">
      <c r="A47" s="10" t="n">
        <v>46129</v>
      </c>
      <c r="B47" s="4" t="inlineStr">
        <is>
          <t>пт</t>
        </is>
      </c>
      <c r="C47" s="4" t="n">
        <v>83</v>
      </c>
      <c r="D47" s="4" t="n">
        <v>61</v>
      </c>
      <c r="E47" s="4" t="n">
        <v>73.5</v>
      </c>
    </row>
    <row r="48">
      <c r="A48" s="10" t="n">
        <v>46130</v>
      </c>
      <c r="B48" s="4" t="inlineStr">
        <is>
          <t>сб</t>
        </is>
      </c>
      <c r="C48" s="4" t="n">
        <v>18</v>
      </c>
      <c r="D48" s="4" t="n">
        <v>6</v>
      </c>
      <c r="E48" s="4" t="n">
        <v>33.3</v>
      </c>
    </row>
    <row r="49">
      <c r="A49" s="10" t="n">
        <v>46131</v>
      </c>
      <c r="B49" s="4" t="inlineStr">
        <is>
          <t>вс</t>
        </is>
      </c>
      <c r="C49" s="4" t="n">
        <v>15</v>
      </c>
      <c r="D49" s="4" t="n">
        <v>10</v>
      </c>
      <c r="E49" s="4" t="n">
        <v>66.7</v>
      </c>
    </row>
    <row r="50">
      <c r="A50" s="10" t="n">
        <v>46132</v>
      </c>
      <c r="B50" s="4" t="inlineStr">
        <is>
          <t>пн</t>
        </is>
      </c>
      <c r="C50" s="4" t="n">
        <v>97</v>
      </c>
      <c r="D50" s="4" t="n">
        <v>41</v>
      </c>
      <c r="E50" s="4" t="n">
        <v>42.3</v>
      </c>
    </row>
    <row r="51">
      <c r="A51" s="10" t="n">
        <v>46133</v>
      </c>
      <c r="B51" s="4" t="inlineStr">
        <is>
          <t>вт</t>
        </is>
      </c>
      <c r="C51" s="4" t="n">
        <v>41</v>
      </c>
      <c r="D51" s="4" t="n">
        <v>21</v>
      </c>
      <c r="E51" s="4" t="n">
        <v>51.2</v>
      </c>
    </row>
    <row r="52">
      <c r="A52" s="10" t="n">
        <v>46134</v>
      </c>
      <c r="B52" s="4" t="inlineStr">
        <is>
          <t>ср</t>
        </is>
      </c>
      <c r="C52" s="4" t="n">
        <v>78</v>
      </c>
      <c r="D52" s="4" t="n">
        <v>40</v>
      </c>
      <c r="E52" s="4" t="n">
        <v>51.3</v>
      </c>
    </row>
    <row r="53">
      <c r="A53" s="10" t="n">
        <v>46135</v>
      </c>
      <c r="B53" s="4" t="inlineStr">
        <is>
          <t>чт</t>
        </is>
      </c>
      <c r="C53" s="4" t="n">
        <v>55</v>
      </c>
      <c r="D53" s="4" t="n">
        <v>24</v>
      </c>
      <c r="E53" s="4" t="n">
        <v>43.6</v>
      </c>
    </row>
    <row r="54">
      <c r="A54" s="10" t="n">
        <v>46136</v>
      </c>
      <c r="B54" s="4" t="inlineStr">
        <is>
          <t>пт</t>
        </is>
      </c>
      <c r="C54" s="4" t="n">
        <v>38</v>
      </c>
      <c r="D54" s="4" t="n">
        <v>13</v>
      </c>
      <c r="E54" s="4" t="n">
        <v>34.2</v>
      </c>
    </row>
    <row r="55">
      <c r="A55" s="10" t="n">
        <v>46137</v>
      </c>
      <c r="B55" s="4" t="inlineStr">
        <is>
          <t>сб</t>
        </is>
      </c>
      <c r="C55" s="4" t="n">
        <v>2</v>
      </c>
      <c r="D55" s="4" t="n">
        <v>2</v>
      </c>
      <c r="E55" s="4" t="n">
        <v>100</v>
      </c>
    </row>
    <row r="56">
      <c r="A56" s="10" t="n">
        <v>46138</v>
      </c>
      <c r="B56" s="4" t="inlineStr">
        <is>
          <t>вс</t>
        </is>
      </c>
      <c r="C56" s="4" t="n">
        <v>13</v>
      </c>
      <c r="D56" s="4" t="n">
        <v>8</v>
      </c>
      <c r="E56" s="4" t="n">
        <v>61.5</v>
      </c>
    </row>
    <row r="57">
      <c r="A57" s="10" t="n">
        <v>46139</v>
      </c>
      <c r="B57" s="4" t="inlineStr">
        <is>
          <t>пн</t>
        </is>
      </c>
      <c r="C57" s="4" t="n">
        <v>68</v>
      </c>
      <c r="D57" s="4" t="n">
        <v>34</v>
      </c>
      <c r="E57" s="4" t="n">
        <v>50</v>
      </c>
    </row>
    <row r="58">
      <c r="A58" s="10" t="n">
        <v>46140</v>
      </c>
      <c r="B58" s="4" t="inlineStr">
        <is>
          <t>вт</t>
        </is>
      </c>
      <c r="C58" s="4" t="n">
        <v>48</v>
      </c>
      <c r="D58" s="4" t="n">
        <v>11</v>
      </c>
      <c r="E58" s="4" t="n">
        <v>22.9</v>
      </c>
    </row>
    <row r="59">
      <c r="A59" s="10" t="n">
        <v>46141</v>
      </c>
      <c r="B59" s="4" t="inlineStr">
        <is>
          <t>ср</t>
        </is>
      </c>
      <c r="C59" s="4" t="n">
        <v>41</v>
      </c>
      <c r="D59" s="4" t="n">
        <v>22</v>
      </c>
      <c r="E59" s="4" t="n">
        <v>53.7</v>
      </c>
    </row>
    <row r="60">
      <c r="A60" s="10" t="n">
        <v>46142</v>
      </c>
      <c r="B60" s="4" t="inlineStr">
        <is>
          <t>чт</t>
        </is>
      </c>
      <c r="C60" s="4" t="n">
        <v>1</v>
      </c>
      <c r="D60" s="4" t="n">
        <v>1</v>
      </c>
      <c r="E60" s="4" t="n">
        <v>100</v>
      </c>
    </row>
    <row r="61">
      <c r="A61" s="10" t="n">
        <v>46143</v>
      </c>
      <c r="B61" s="4" t="inlineStr">
        <is>
          <t>пт</t>
        </is>
      </c>
      <c r="C61" s="4" t="n">
        <v>5</v>
      </c>
      <c r="D61" s="4" t="n">
        <v>5</v>
      </c>
      <c r="E61" s="4" t="n">
        <v>100</v>
      </c>
    </row>
    <row r="62">
      <c r="A62" s="10" t="n">
        <v>46144</v>
      </c>
      <c r="B62" s="4" t="inlineStr">
        <is>
          <t>сб</t>
        </is>
      </c>
      <c r="C62" s="4" t="n">
        <v>2</v>
      </c>
      <c r="D62" s="4" t="n">
        <v>1</v>
      </c>
      <c r="E62" s="4" t="n">
        <v>50</v>
      </c>
    </row>
    <row r="63">
      <c r="A63" s="10" t="n">
        <v>46145</v>
      </c>
      <c r="B63" s="4" t="inlineStr">
        <is>
          <t>вс</t>
        </is>
      </c>
      <c r="C63" s="4" t="n">
        <v>2</v>
      </c>
      <c r="D63" s="4" t="n">
        <v>0</v>
      </c>
      <c r="E63" s="4" t="n">
        <v>0</v>
      </c>
    </row>
    <row r="64">
      <c r="A64" s="10" t="n">
        <v>46146</v>
      </c>
      <c r="B64" s="4" t="inlineStr">
        <is>
          <t>пн</t>
        </is>
      </c>
      <c r="C64" s="4" t="n">
        <v>96</v>
      </c>
      <c r="D64" s="4" t="n">
        <v>47</v>
      </c>
      <c r="E64" s="4" t="n">
        <v>49</v>
      </c>
    </row>
    <row r="65">
      <c r="A65" s="10" t="n">
        <v>46147</v>
      </c>
      <c r="B65" s="4" t="inlineStr">
        <is>
          <t>вт</t>
        </is>
      </c>
      <c r="C65" s="4" t="n">
        <v>65</v>
      </c>
      <c r="D65" s="4" t="n">
        <v>37</v>
      </c>
      <c r="E65" s="4" t="n">
        <v>56.9</v>
      </c>
    </row>
    <row r="66">
      <c r="A66" s="10" t="n">
        <v>46148</v>
      </c>
      <c r="B66" s="4" t="inlineStr">
        <is>
          <t>ср</t>
        </is>
      </c>
      <c r="C66" s="4" t="n">
        <v>39</v>
      </c>
      <c r="D66" s="4" t="n">
        <v>22</v>
      </c>
      <c r="E66" s="4" t="n">
        <v>56.4</v>
      </c>
    </row>
    <row r="67">
      <c r="A67" s="10" t="n">
        <v>46149</v>
      </c>
      <c r="B67" s="4" t="inlineStr">
        <is>
          <t>чт</t>
        </is>
      </c>
      <c r="C67" s="4" t="n">
        <v>65</v>
      </c>
      <c r="D67" s="4" t="n">
        <v>24</v>
      </c>
      <c r="E67" s="4" t="n">
        <v>36.9</v>
      </c>
    </row>
    <row r="68">
      <c r="A68" s="10" t="n">
        <v>46150</v>
      </c>
      <c r="B68" s="4" t="inlineStr">
        <is>
          <t>пт</t>
        </is>
      </c>
      <c r="C68" s="4" t="n">
        <v>37</v>
      </c>
      <c r="D68" s="4" t="n">
        <v>24</v>
      </c>
      <c r="E68" s="4" t="n">
        <v>64.90000000000001</v>
      </c>
    </row>
    <row r="69">
      <c r="A69" s="10" t="n">
        <v>46151</v>
      </c>
      <c r="B69" s="4" t="inlineStr">
        <is>
          <t>сб</t>
        </is>
      </c>
      <c r="C69" s="4" t="n">
        <v>9</v>
      </c>
      <c r="D69" s="4" t="n">
        <v>4</v>
      </c>
      <c r="E69" s="4" t="n">
        <v>44.4</v>
      </c>
    </row>
    <row r="70">
      <c r="A70" s="10" t="n">
        <v>46152</v>
      </c>
      <c r="B70" s="4" t="inlineStr">
        <is>
          <t>вс</t>
        </is>
      </c>
      <c r="C70" s="4" t="n">
        <v>1</v>
      </c>
      <c r="D70" s="4" t="n">
        <v>0</v>
      </c>
      <c r="E70" s="4" t="n">
        <v>0</v>
      </c>
    </row>
    <row r="71">
      <c r="A71" s="10" t="n">
        <v>46153</v>
      </c>
      <c r="B71" s="4" t="inlineStr">
        <is>
          <t>пн</t>
        </is>
      </c>
      <c r="C71" s="4" t="n">
        <v>5</v>
      </c>
      <c r="D71" s="4" t="n">
        <v>4</v>
      </c>
      <c r="E71" s="4" t="n">
        <v>80</v>
      </c>
    </row>
    <row r="72">
      <c r="A72" s="10" t="n">
        <v>46154</v>
      </c>
      <c r="B72" s="4" t="inlineStr">
        <is>
          <t>вт</t>
        </is>
      </c>
      <c r="C72" s="4" t="n">
        <v>71</v>
      </c>
      <c r="D72" s="4" t="n">
        <v>38</v>
      </c>
      <c r="E72" s="4" t="n">
        <v>53.5</v>
      </c>
    </row>
    <row r="73">
      <c r="A73" s="10" t="n">
        <v>46155</v>
      </c>
      <c r="B73" s="4" t="inlineStr">
        <is>
          <t>ср</t>
        </is>
      </c>
      <c r="C73" s="4" t="n">
        <v>60</v>
      </c>
      <c r="D73" s="4" t="n">
        <v>39</v>
      </c>
      <c r="E73" s="4" t="n">
        <v>65</v>
      </c>
    </row>
    <row r="74">
      <c r="A74" s="10" t="n">
        <v>46156</v>
      </c>
      <c r="B74" s="4" t="inlineStr">
        <is>
          <t>чт</t>
        </is>
      </c>
      <c r="C74" s="4" t="n">
        <v>40</v>
      </c>
      <c r="D74" s="4" t="n">
        <v>23</v>
      </c>
      <c r="E74" s="4" t="n">
        <v>57.5</v>
      </c>
    </row>
    <row r="75">
      <c r="A75" s="10" t="n">
        <v>46157</v>
      </c>
      <c r="B75" s="4" t="inlineStr">
        <is>
          <t>пт</t>
        </is>
      </c>
      <c r="C75" s="4" t="n">
        <v>44</v>
      </c>
      <c r="D75" s="4" t="n">
        <v>17</v>
      </c>
      <c r="E75" s="4" t="n">
        <v>38.6</v>
      </c>
    </row>
    <row r="76">
      <c r="A76" s="10" t="n">
        <v>46158</v>
      </c>
      <c r="B76" s="4" t="inlineStr">
        <is>
          <t>сб</t>
        </is>
      </c>
      <c r="C76" s="4" t="n">
        <v>7</v>
      </c>
      <c r="D76" s="4" t="n">
        <v>2</v>
      </c>
      <c r="E76" s="4" t="n">
        <v>28.6</v>
      </c>
    </row>
    <row r="77">
      <c r="A77" s="10" t="n">
        <v>46159</v>
      </c>
      <c r="B77" s="4" t="inlineStr">
        <is>
          <t>вс</t>
        </is>
      </c>
      <c r="C77" s="4" t="n">
        <v>3</v>
      </c>
      <c r="D77" s="4" t="n">
        <v>1</v>
      </c>
      <c r="E77" s="4" t="n">
        <v>33.3</v>
      </c>
    </row>
    <row r="78">
      <c r="A78" s="10" t="n">
        <v>46160</v>
      </c>
      <c r="B78" s="4" t="inlineStr">
        <is>
          <t>пн</t>
        </is>
      </c>
      <c r="C78" s="4" t="n">
        <v>54</v>
      </c>
      <c r="D78" s="4" t="n">
        <v>28</v>
      </c>
      <c r="E78" s="4" t="n">
        <v>51.9</v>
      </c>
    </row>
    <row r="79">
      <c r="A79" s="10" t="n">
        <v>46161</v>
      </c>
      <c r="B79" s="4" t="inlineStr">
        <is>
          <t>вт</t>
        </is>
      </c>
      <c r="C79" s="4" t="n">
        <v>36</v>
      </c>
      <c r="D79" s="4" t="n">
        <v>27</v>
      </c>
      <c r="E79" s="4" t="n">
        <v>75</v>
      </c>
    </row>
    <row r="80">
      <c r="A80" s="10" t="n">
        <v>46162</v>
      </c>
      <c r="B80" s="4" t="inlineStr">
        <is>
          <t>ср</t>
        </is>
      </c>
      <c r="C80" s="4" t="n">
        <v>57</v>
      </c>
      <c r="D80" s="4" t="n">
        <v>30</v>
      </c>
      <c r="E80" s="4" t="n">
        <v>52.6</v>
      </c>
    </row>
    <row r="81">
      <c r="A81" s="10" t="n">
        <v>46163</v>
      </c>
      <c r="B81" s="4" t="inlineStr">
        <is>
          <t>чт</t>
        </is>
      </c>
      <c r="C81" s="4" t="n">
        <v>60</v>
      </c>
      <c r="D81" s="4" t="n">
        <v>20</v>
      </c>
      <c r="E81" s="4" t="n">
        <v>33.3</v>
      </c>
    </row>
    <row r="82">
      <c r="A82" s="10" t="n">
        <v>46164</v>
      </c>
      <c r="B82" s="4" t="inlineStr">
        <is>
          <t>пт</t>
        </is>
      </c>
      <c r="C82" s="4" t="n">
        <v>63</v>
      </c>
      <c r="D82" s="4" t="n">
        <v>28</v>
      </c>
      <c r="E82" s="4" t="n">
        <v>44.4</v>
      </c>
    </row>
    <row r="83">
      <c r="A83" s="10" t="n">
        <v>46165</v>
      </c>
      <c r="B83" s="4" t="inlineStr">
        <is>
          <t>сб</t>
        </is>
      </c>
      <c r="C83" s="4" t="n">
        <v>1</v>
      </c>
      <c r="D83" s="4" t="n">
        <v>0</v>
      </c>
      <c r="E83" s="4" t="n">
        <v>0</v>
      </c>
    </row>
    <row r="84">
      <c r="A84" s="10" t="n">
        <v>46166</v>
      </c>
      <c r="B84" s="4" t="inlineStr">
        <is>
          <t>вс</t>
        </is>
      </c>
      <c r="C84" s="4" t="n">
        <v>3</v>
      </c>
      <c r="D84" s="4" t="n">
        <v>3</v>
      </c>
      <c r="E84" s="4" t="n">
        <v>100</v>
      </c>
    </row>
    <row r="85">
      <c r="A85" s="10" t="n">
        <v>46167</v>
      </c>
      <c r="B85" s="4" t="inlineStr">
        <is>
          <t>пн</t>
        </is>
      </c>
      <c r="C85" s="4" t="n">
        <v>97</v>
      </c>
      <c r="D85" s="4" t="n">
        <v>44</v>
      </c>
      <c r="E85" s="4" t="n">
        <v>45.4</v>
      </c>
    </row>
    <row r="86">
      <c r="A86" s="10" t="n">
        <v>46168</v>
      </c>
      <c r="B86" s="4" t="inlineStr">
        <is>
          <t>вт</t>
        </is>
      </c>
      <c r="C86" s="4" t="n">
        <v>46</v>
      </c>
      <c r="D86" s="4" t="n">
        <v>25</v>
      </c>
      <c r="E86" s="4" t="n">
        <v>54.3</v>
      </c>
    </row>
    <row r="87">
      <c r="A87" s="10" t="n">
        <v>46169</v>
      </c>
      <c r="B87" s="4" t="inlineStr">
        <is>
          <t>ср</t>
        </is>
      </c>
      <c r="C87" s="4" t="n">
        <v>40</v>
      </c>
      <c r="D87" s="4" t="n">
        <v>17</v>
      </c>
      <c r="E87" s="4" t="n">
        <v>42.5</v>
      </c>
    </row>
    <row r="88">
      <c r="A88" s="10" t="n">
        <v>46170</v>
      </c>
      <c r="B88" s="4" t="inlineStr">
        <is>
          <t>чт</t>
        </is>
      </c>
      <c r="C88" s="4" t="n">
        <v>30</v>
      </c>
      <c r="D88" s="4" t="n">
        <v>13</v>
      </c>
      <c r="E88" s="4" t="n">
        <v>43.3</v>
      </c>
    </row>
    <row r="89">
      <c r="A89" s="10" t="n">
        <v>46171</v>
      </c>
      <c r="B89" s="4" t="inlineStr">
        <is>
          <t>пт</t>
        </is>
      </c>
      <c r="C89" s="4" t="n">
        <v>75</v>
      </c>
      <c r="D89" s="4" t="n">
        <v>29</v>
      </c>
      <c r="E89" s="4" t="n">
        <v>38.7</v>
      </c>
    </row>
    <row r="90">
      <c r="A90" s="10" t="n">
        <v>46172</v>
      </c>
      <c r="B90" s="4" t="inlineStr">
        <is>
          <t>сб</t>
        </is>
      </c>
      <c r="C90" s="4" t="n">
        <v>2</v>
      </c>
      <c r="D90" s="4" t="n">
        <v>1</v>
      </c>
      <c r="E90" s="4" t="n">
        <v>50</v>
      </c>
    </row>
    <row r="91">
      <c r="A91" s="10" t="n">
        <v>46173</v>
      </c>
      <c r="B91" s="4" t="inlineStr">
        <is>
          <t>вс</t>
        </is>
      </c>
      <c r="C91" s="4" t="n">
        <v>3</v>
      </c>
      <c r="D91" s="4" t="n">
        <v>2</v>
      </c>
      <c r="E91" s="4" t="n">
        <v>66.7</v>
      </c>
    </row>
    <row r="92">
      <c r="A92" s="10" t="n">
        <v>46174</v>
      </c>
      <c r="B92" s="4" t="inlineStr">
        <is>
          <t>пн</t>
        </is>
      </c>
      <c r="C92" s="4" t="n">
        <v>75</v>
      </c>
      <c r="D92" s="4" t="n">
        <v>38</v>
      </c>
      <c r="E92" s="4" t="n">
        <v>50.7</v>
      </c>
    </row>
    <row r="93">
      <c r="A93" s="10" t="n">
        <v>46175</v>
      </c>
      <c r="B93" s="4" t="inlineStr">
        <is>
          <t>вт</t>
        </is>
      </c>
      <c r="C93" s="4" t="n">
        <v>112</v>
      </c>
      <c r="D93" s="4" t="n">
        <v>61</v>
      </c>
      <c r="E93" s="4" t="n">
        <v>54.5</v>
      </c>
    </row>
    <row r="94">
      <c r="A94" s="10" t="n">
        <v>46176</v>
      </c>
      <c r="B94" s="4" t="inlineStr">
        <is>
          <t>ср</t>
        </is>
      </c>
      <c r="C94" s="4" t="n">
        <v>31</v>
      </c>
      <c r="D94" s="4" t="n">
        <v>19</v>
      </c>
      <c r="E94" s="4" t="n">
        <v>61.3</v>
      </c>
    </row>
    <row r="95">
      <c r="A95" s="10" t="n">
        <v>46177</v>
      </c>
      <c r="B95" s="4" t="inlineStr">
        <is>
          <t>чт</t>
        </is>
      </c>
      <c r="C95" s="4" t="n">
        <v>48</v>
      </c>
      <c r="D95" s="4" t="n">
        <v>21</v>
      </c>
      <c r="E95" s="4" t="n">
        <v>43.8</v>
      </c>
    </row>
    <row r="96">
      <c r="A96" s="10" t="n">
        <v>46178</v>
      </c>
      <c r="B96" s="4" t="inlineStr">
        <is>
          <t>пт</t>
        </is>
      </c>
      <c r="C96" s="4" t="n">
        <v>35</v>
      </c>
      <c r="D96" s="4" t="n">
        <v>13</v>
      </c>
      <c r="E96" s="4" t="n">
        <v>37.1</v>
      </c>
    </row>
    <row r="97">
      <c r="A97" s="10" t="n">
        <v>46179</v>
      </c>
      <c r="B97" s="4" t="inlineStr">
        <is>
          <t>сб</t>
        </is>
      </c>
      <c r="C97" s="4" t="n">
        <v>9</v>
      </c>
      <c r="D97" s="4" t="n">
        <v>4</v>
      </c>
      <c r="E97" s="4" t="n">
        <v>44.4</v>
      </c>
    </row>
    <row r="98">
      <c r="A98" s="10" t="n">
        <v>46181</v>
      </c>
      <c r="B98" s="4" t="inlineStr">
        <is>
          <t>пн</t>
        </is>
      </c>
      <c r="C98" s="4" t="n">
        <v>66</v>
      </c>
      <c r="D98" s="4" t="n">
        <v>29</v>
      </c>
      <c r="E98" s="4" t="n">
        <v>43.9</v>
      </c>
    </row>
    <row r="99">
      <c r="A99" s="10" t="n">
        <v>46182</v>
      </c>
      <c r="B99" s="4" t="inlineStr">
        <is>
          <t>вт</t>
        </is>
      </c>
      <c r="C99" s="4" t="n">
        <v>40</v>
      </c>
      <c r="D99" s="4" t="n">
        <v>24</v>
      </c>
      <c r="E99" s="4" t="n">
        <v>60</v>
      </c>
    </row>
    <row r="100">
      <c r="A100" s="10" t="n">
        <v>46183</v>
      </c>
      <c r="B100" s="4" t="inlineStr">
        <is>
          <t>ср</t>
        </is>
      </c>
      <c r="C100" s="4" t="n">
        <v>43</v>
      </c>
      <c r="D100" s="4" t="n">
        <v>20</v>
      </c>
      <c r="E100" s="4" t="n">
        <v>46.5</v>
      </c>
    </row>
    <row r="101">
      <c r="A101" s="10" t="n">
        <v>46184</v>
      </c>
      <c r="B101" s="4" t="inlineStr">
        <is>
          <t>чт</t>
        </is>
      </c>
      <c r="C101" s="4" t="n">
        <v>86</v>
      </c>
      <c r="D101" s="4" t="n">
        <v>43</v>
      </c>
      <c r="E101" s="4" t="n">
        <v>50</v>
      </c>
    </row>
    <row r="102">
      <c r="A102" s="10" t="n">
        <v>46185</v>
      </c>
      <c r="B102" s="4" t="inlineStr">
        <is>
          <t>пт</t>
        </is>
      </c>
      <c r="C102" s="4" t="n">
        <v>1</v>
      </c>
      <c r="D102" s="4" t="n">
        <v>0</v>
      </c>
      <c r="E102" s="4" t="n">
        <v>0</v>
      </c>
    </row>
    <row r="103">
      <c r="A103" s="10" t="n">
        <v>46186</v>
      </c>
      <c r="B103" s="4" t="inlineStr">
        <is>
          <t>сб</t>
        </is>
      </c>
      <c r="C103" s="4" t="n">
        <v>17</v>
      </c>
      <c r="D103" s="4" t="n">
        <v>2</v>
      </c>
      <c r="E103" s="4" t="n">
        <v>11.8</v>
      </c>
    </row>
    <row r="104">
      <c r="A104" s="10" t="n">
        <v>46187</v>
      </c>
      <c r="B104" s="4" t="inlineStr">
        <is>
          <t>вс</t>
        </is>
      </c>
      <c r="C104" s="4" t="n">
        <v>8</v>
      </c>
      <c r="D104" s="4" t="n">
        <v>2</v>
      </c>
      <c r="E104" s="4" t="n">
        <v>25</v>
      </c>
    </row>
    <row r="105">
      <c r="A105" s="10" t="n">
        <v>46188</v>
      </c>
      <c r="B105" s="4" t="inlineStr">
        <is>
          <t>пн</t>
        </is>
      </c>
      <c r="C105" s="4" t="n">
        <v>49</v>
      </c>
      <c r="D105" s="4" t="n">
        <v>42</v>
      </c>
      <c r="E105" s="4" t="n">
        <v>85.7</v>
      </c>
    </row>
    <row r="106">
      <c r="A106" s="10" t="n">
        <v>46189</v>
      </c>
      <c r="B106" s="4" t="inlineStr">
        <is>
          <t>вт</t>
        </is>
      </c>
      <c r="C106" s="4" t="n">
        <v>30</v>
      </c>
      <c r="D106" s="4" t="n">
        <v>17</v>
      </c>
      <c r="E106" s="4" t="n">
        <v>56.7</v>
      </c>
    </row>
    <row r="107">
      <c r="A107" s="10" t="n">
        <v>46190</v>
      </c>
      <c r="B107" s="4" t="inlineStr">
        <is>
          <t>ср</t>
        </is>
      </c>
      <c r="C107" s="4" t="n">
        <v>21</v>
      </c>
      <c r="D107" s="4" t="n">
        <v>14</v>
      </c>
      <c r="E107" s="4" t="n">
        <v>66.7</v>
      </c>
    </row>
    <row r="108">
      <c r="A108" s="10" t="n">
        <v>46191</v>
      </c>
      <c r="B108" s="4" t="inlineStr">
        <is>
          <t>чт</t>
        </is>
      </c>
      <c r="C108" s="4" t="n">
        <v>22</v>
      </c>
      <c r="D108" s="4" t="n">
        <v>12</v>
      </c>
      <c r="E108" s="4" t="n">
        <v>54.5</v>
      </c>
    </row>
    <row r="109">
      <c r="A109" s="10" t="n">
        <v>46192</v>
      </c>
      <c r="B109" s="4" t="inlineStr">
        <is>
          <t>пт</t>
        </is>
      </c>
      <c r="C109" s="4" t="n">
        <v>18</v>
      </c>
      <c r="D109" s="4" t="n">
        <v>5</v>
      </c>
      <c r="E109" s="4" t="n">
        <v>27.8</v>
      </c>
    </row>
    <row r="110">
      <c r="A110" s="10" t="n">
        <v>46194</v>
      </c>
      <c r="B110" s="4" t="inlineStr">
        <is>
          <t>вс</t>
        </is>
      </c>
      <c r="C110" s="4" t="n">
        <v>8</v>
      </c>
      <c r="D110" s="4" t="n">
        <v>1</v>
      </c>
      <c r="E110" s="4" t="n">
        <v>12.5</v>
      </c>
    </row>
    <row r="111">
      <c r="A111" s="10" t="n">
        <v>46195</v>
      </c>
      <c r="B111" s="4" t="inlineStr">
        <is>
          <t>пн</t>
        </is>
      </c>
      <c r="C111" s="4" t="n">
        <v>48</v>
      </c>
      <c r="D111" s="4" t="n">
        <v>17</v>
      </c>
      <c r="E111" s="4" t="n">
        <v>35.4</v>
      </c>
    </row>
    <row r="112">
      <c r="A112" s="10" t="n">
        <v>46196</v>
      </c>
      <c r="B112" s="4" t="inlineStr">
        <is>
          <t>вт</t>
        </is>
      </c>
      <c r="C112" s="4" t="n">
        <v>90</v>
      </c>
      <c r="D112" s="4" t="n">
        <v>34</v>
      </c>
      <c r="E112" s="4" t="n">
        <v>37.8</v>
      </c>
    </row>
    <row r="113">
      <c r="A113" s="10" t="n">
        <v>46197</v>
      </c>
      <c r="B113" s="4" t="inlineStr">
        <is>
          <t>ср</t>
        </is>
      </c>
      <c r="C113" s="4" t="n">
        <v>61</v>
      </c>
      <c r="D113" s="4" t="n">
        <v>21</v>
      </c>
      <c r="E113" s="4" t="n">
        <v>34.4</v>
      </c>
    </row>
    <row r="114">
      <c r="A114" s="10" t="n">
        <v>46198</v>
      </c>
      <c r="B114" s="4" t="inlineStr">
        <is>
          <t>чт</t>
        </is>
      </c>
      <c r="C114" s="4" t="n">
        <v>30</v>
      </c>
      <c r="D114" s="4" t="n">
        <v>11</v>
      </c>
      <c r="E114" s="4" t="n">
        <v>36.7</v>
      </c>
    </row>
    <row r="115">
      <c r="A115" s="10" t="n">
        <v>46199</v>
      </c>
      <c r="B115" s="4" t="inlineStr">
        <is>
          <t>пт</t>
        </is>
      </c>
      <c r="C115" s="4" t="n">
        <v>56</v>
      </c>
      <c r="D115" s="4" t="n">
        <v>27</v>
      </c>
      <c r="E115" s="4" t="n">
        <v>48.2</v>
      </c>
    </row>
    <row r="116">
      <c r="A116" s="10" t="n">
        <v>46200</v>
      </c>
      <c r="B116" s="4" t="inlineStr">
        <is>
          <t>сб</t>
        </is>
      </c>
      <c r="C116" s="4" t="n">
        <v>4</v>
      </c>
      <c r="D116" s="4" t="n">
        <v>3</v>
      </c>
      <c r="E116" s="4" t="n">
        <v>75</v>
      </c>
    </row>
    <row r="117">
      <c r="A117" s="10" t="n">
        <v>46201</v>
      </c>
      <c r="B117" s="4" t="inlineStr">
        <is>
          <t>вс</t>
        </is>
      </c>
      <c r="C117" s="4" t="n">
        <v>6</v>
      </c>
      <c r="D117" s="4" t="n">
        <v>1</v>
      </c>
      <c r="E117" s="4" t="n">
        <v>16.7</v>
      </c>
    </row>
    <row r="118">
      <c r="A118" s="10" t="n">
        <v>46202</v>
      </c>
      <c r="B118" s="4" t="inlineStr">
        <is>
          <t>пн</t>
        </is>
      </c>
      <c r="C118" s="4" t="n">
        <v>100</v>
      </c>
      <c r="D118" s="4" t="n">
        <v>37</v>
      </c>
      <c r="E118" s="4" t="n">
        <v>37</v>
      </c>
    </row>
    <row r="119">
      <c r="A119" s="10" t="n">
        <v>46203</v>
      </c>
      <c r="B119" s="4" t="inlineStr">
        <is>
          <t>вт</t>
        </is>
      </c>
      <c r="C119" s="4" t="n">
        <v>72</v>
      </c>
      <c r="D119" s="4" t="n">
        <v>44</v>
      </c>
      <c r="E119" s="4" t="n">
        <v>61.1</v>
      </c>
    </row>
    <row r="120">
      <c r="A120" s="10" t="n">
        <v>46204</v>
      </c>
      <c r="B120" s="4" t="inlineStr">
        <is>
          <t>ср</t>
        </is>
      </c>
      <c r="C120" s="4" t="n">
        <v>27</v>
      </c>
      <c r="D120" s="4" t="n">
        <v>11</v>
      </c>
      <c r="E120" s="4" t="n">
        <v>40.7</v>
      </c>
    </row>
    <row r="121">
      <c r="A121" s="10" t="n">
        <v>46205</v>
      </c>
      <c r="B121" s="4" t="inlineStr">
        <is>
          <t>чт</t>
        </is>
      </c>
      <c r="C121" s="4" t="n">
        <v>45</v>
      </c>
      <c r="D121" s="4" t="n">
        <v>16</v>
      </c>
      <c r="E121" s="4" t="n">
        <v>35.6</v>
      </c>
    </row>
    <row r="122">
      <c r="A122" s="10" t="n">
        <v>46206</v>
      </c>
      <c r="B122" s="4" t="inlineStr">
        <is>
          <t>пт</t>
        </is>
      </c>
      <c r="C122" s="4" t="n">
        <v>99</v>
      </c>
      <c r="D122" s="4" t="n">
        <v>62</v>
      </c>
      <c r="E122" s="4" t="n">
        <v>62.6</v>
      </c>
    </row>
    <row r="123">
      <c r="A123" s="10" t="n">
        <v>46207</v>
      </c>
      <c r="B123" s="4" t="inlineStr">
        <is>
          <t>сб</t>
        </is>
      </c>
      <c r="C123" s="4" t="n">
        <v>5</v>
      </c>
      <c r="D123" s="4" t="n">
        <v>4</v>
      </c>
      <c r="E123" s="4" t="n">
        <v>80</v>
      </c>
    </row>
    <row r="124">
      <c r="A124" s="10" t="n">
        <v>46208</v>
      </c>
      <c r="B124" s="4" t="inlineStr">
        <is>
          <t>вс</t>
        </is>
      </c>
      <c r="C124" s="4" t="n">
        <v>2</v>
      </c>
      <c r="D124" s="4" t="n">
        <v>1</v>
      </c>
      <c r="E124" s="4" t="n">
        <v>50</v>
      </c>
    </row>
    <row r="125">
      <c r="A125" s="10" t="n">
        <v>46209</v>
      </c>
      <c r="B125" s="4" t="inlineStr">
        <is>
          <t>пн</t>
        </is>
      </c>
      <c r="C125" s="4" t="n">
        <v>95</v>
      </c>
      <c r="D125" s="4" t="n">
        <v>50</v>
      </c>
      <c r="E125" s="4" t="n">
        <v>52.6</v>
      </c>
    </row>
    <row r="126">
      <c r="A126" s="10" t="n">
        <v>46210</v>
      </c>
      <c r="B126" s="4" t="inlineStr">
        <is>
          <t>вт</t>
        </is>
      </c>
      <c r="C126" s="4" t="n">
        <v>63</v>
      </c>
      <c r="D126" s="4" t="n">
        <v>36</v>
      </c>
      <c r="E126" s="4" t="n">
        <v>57.1</v>
      </c>
    </row>
    <row r="127">
      <c r="A127" s="10" t="n">
        <v>46211</v>
      </c>
      <c r="B127" s="4" t="inlineStr">
        <is>
          <t>ср</t>
        </is>
      </c>
      <c r="C127" s="4" t="n">
        <v>35</v>
      </c>
      <c r="D127" s="4" t="n">
        <v>20</v>
      </c>
      <c r="E127" s="4" t="n">
        <v>57.1</v>
      </c>
    </row>
    <row r="128">
      <c r="A128" s="10" t="n">
        <v>46212</v>
      </c>
      <c r="B128" s="4" t="inlineStr">
        <is>
          <t>чт</t>
        </is>
      </c>
      <c r="C128" s="4" t="n">
        <v>88</v>
      </c>
      <c r="D128" s="4" t="n">
        <v>34</v>
      </c>
      <c r="E128" s="4" t="n">
        <v>38.6</v>
      </c>
    </row>
    <row r="129">
      <c r="A129" s="10" t="n">
        <v>46213</v>
      </c>
      <c r="B129" s="4" t="inlineStr">
        <is>
          <t>пт</t>
        </is>
      </c>
      <c r="C129" s="4" t="n">
        <v>25</v>
      </c>
      <c r="D129" s="4" t="n">
        <v>12</v>
      </c>
      <c r="E129" s="4" t="n">
        <v>48</v>
      </c>
    </row>
    <row r="130">
      <c r="A130" s="10" t="n">
        <v>46215</v>
      </c>
      <c r="B130" s="4" t="inlineStr">
        <is>
          <t>вс</t>
        </is>
      </c>
      <c r="C130" s="4" t="n">
        <v>25</v>
      </c>
      <c r="D130" s="4" t="n">
        <v>14</v>
      </c>
      <c r="E130" s="4" t="n">
        <v>56</v>
      </c>
    </row>
    <row r="131">
      <c r="A131" s="10" t="n">
        <v>46216</v>
      </c>
      <c r="B131" s="4" t="inlineStr">
        <is>
          <t>пн</t>
        </is>
      </c>
      <c r="C131" s="4" t="n">
        <v>28</v>
      </c>
      <c r="D131" s="4" t="n">
        <v>7</v>
      </c>
      <c r="E131" s="4" t="n">
        <v>25</v>
      </c>
    </row>
    <row r="132">
      <c r="A132" s="10" t="n">
        <v>46217</v>
      </c>
      <c r="B132" s="4" t="inlineStr">
        <is>
          <t>вт</t>
        </is>
      </c>
      <c r="C132" s="4" t="n">
        <v>26</v>
      </c>
      <c r="D132" s="4" t="n">
        <v>7</v>
      </c>
      <c r="E132" s="4" t="n">
        <v>26.9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 outlineLevelCol="0"/>
  <cols>
    <col width="10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Конверсии</t>
        </is>
      </c>
    </row>
    <row r="3">
      <c r="A3" s="2" t="inlineStr">
        <is>
          <t>Запрос → Предложение (EXP)</t>
        </is>
      </c>
    </row>
    <row r="4">
      <c r="A4" t="inlineStr">
        <is>
          <t>Считаем: доля ExpR, по которым есть цена (Purchase + DDP) = мы смогли предложить</t>
        </is>
      </c>
    </row>
    <row r="5">
      <c r="A5" s="11" t="inlineStr">
        <is>
          <t>Итого: 2963 / 6455 = 45.9%</t>
        </is>
      </c>
    </row>
    <row r="7">
      <c r="A7" s="2" t="inlineStr">
        <is>
          <t>Предложение → Заказ (EXP + ТАЗ)</t>
        </is>
      </c>
    </row>
    <row r="8">
      <c r="A8" t="inlineStr">
        <is>
          <t>Считаем: ExpR с ценой, у которого по тому же P/N есть заказ в ТАЗ (Invoicer=М, EXPENDABLE, active) с датой ≥ даты предложения</t>
        </is>
      </c>
    </row>
    <row r="9">
      <c r="A9" s="11" t="inlineStr">
        <is>
          <t>Итого: 121 / 2963 = 4.08%</t>
        </is>
      </c>
    </row>
    <row r="10">
      <c r="A10" t="inlineStr">
        <is>
          <t>Обратная проверка: заказов 2026 с prior offer: 83/169 = 49.1%</t>
        </is>
      </c>
    </row>
    <row r="12">
      <c r="A12" s="2" t="inlineStr">
        <is>
          <t>По месяцам предложения → заказ</t>
        </is>
      </c>
    </row>
    <row r="13">
      <c r="A13" s="3" t="inlineStr">
        <is>
          <t>Месяц</t>
        </is>
      </c>
      <c r="B13" s="3" t="inlineStr">
        <is>
          <t>Предложений</t>
        </is>
      </c>
      <c r="C13" s="3" t="inlineStr">
        <is>
          <t>С заказом</t>
        </is>
      </c>
      <c r="D13" s="3" t="inlineStr">
        <is>
          <t>Конверсия %</t>
        </is>
      </c>
    </row>
    <row r="14">
      <c r="A14" s="8" t="inlineStr">
        <is>
          <t>2026-03</t>
        </is>
      </c>
      <c r="B14" s="8" t="n">
        <v>891</v>
      </c>
      <c r="C14" s="8" t="n">
        <v>43</v>
      </c>
      <c r="D14" s="8" t="n">
        <v>4.83</v>
      </c>
    </row>
    <row r="15">
      <c r="A15" s="8" t="inlineStr">
        <is>
          <t>2026-04</t>
        </is>
      </c>
      <c r="B15" s="8" t="n">
        <v>681</v>
      </c>
      <c r="C15" s="8" t="n">
        <v>23</v>
      </c>
      <c r="D15" s="8" t="n">
        <v>3.38</v>
      </c>
    </row>
    <row r="16">
      <c r="A16" s="8" t="inlineStr">
        <is>
          <t>2026-05</t>
        </is>
      </c>
      <c r="B16" s="8" t="n">
        <v>555</v>
      </c>
      <c r="C16" s="8" t="n">
        <v>24</v>
      </c>
      <c r="D16" s="8" t="n">
        <v>4.32</v>
      </c>
    </row>
    <row r="17">
      <c r="A17" s="8" t="inlineStr">
        <is>
          <t>2026-06</t>
        </is>
      </c>
      <c r="B17" s="8" t="n">
        <v>562</v>
      </c>
      <c r="C17" s="8" t="n">
        <v>25</v>
      </c>
      <c r="D17" s="8" t="n">
        <v>4.45</v>
      </c>
    </row>
    <row r="18">
      <c r="A18" s="8" t="inlineStr">
        <is>
          <t>2026-07</t>
        </is>
      </c>
      <c r="B18" s="8" t="n">
        <v>274</v>
      </c>
      <c r="C18" s="8" t="n">
        <v>6</v>
      </c>
      <c r="D18" s="8" t="n">
        <v>2.19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 outlineLevelCol="0"/>
  <cols>
    <col width="100" customWidth="1" min="1" max="1"/>
  </cols>
  <sheetData>
    <row r="1">
      <c r="A1" s="2" t="inlineStr">
        <is>
          <t>Методика</t>
        </is>
      </c>
    </row>
    <row r="3">
      <c r="A3" t="inlineStr">
        <is>
          <t>Запрос = уникальный ExpR (Unicode) в файле EXP, любая строка по Utair</t>
        </is>
      </c>
    </row>
    <row r="4">
      <c r="A4" t="inlineStr">
        <is>
          <t>Предложение = ExpR, у которого есть хотя бы одна строка с ценой Purchase + DDP MOW</t>
        </is>
      </c>
    </row>
    <row r="5">
      <c r="A5" t="inlineStr">
        <is>
          <t>1 ExpR = 1 предложение (варианты ответа внутри RFQ не размножают)</t>
        </is>
      </c>
    </row>
    <row r="6">
      <c r="A6" t="inlineStr">
        <is>
          <t>Заказ = ТАЗ, Invoicer=М, Category=EXPENDABLE, статус не Cancelled/Refund</t>
        </is>
      </c>
    </row>
    <row r="7">
      <c r="A7" t="inlineStr">
        <is>
          <t>Конверсия предложение→заказ: по совпадению P/N, дата заказа ≥ даты предложения</t>
        </is>
      </c>
    </row>
    <row r="8">
      <c r="A8" t="inlineStr">
        <is>
          <t>ROTABLE в этой сверке не учитываются (они из ТУЗ)</t>
        </is>
      </c>
    </row>
    <row r="9">
      <c r="A9" t="inlineStr">
        <is>
          <t>Июль 2026 неполный (данные до 14.07)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2026-07-16T12:40:18Z</dcterms:created>
  <dcterms:modified xsi:type="dcterms:W3CDTF">2026-07-16T12:40:18Z</dcterms:modified>
</cp:coreProperties>
</file>